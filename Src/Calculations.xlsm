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n PC\Documents\From The Depths\Mods\Advanced Shields\Src\"/>
    </mc:Choice>
  </mc:AlternateContent>
  <xr:revisionPtr revIDLastSave="0" documentId="13_ncr:1_{668E612E-4CA1-4E53-9F6E-3AFDEE433F61}" xr6:coauthVersionLast="44" xr6:coauthVersionMax="44" xr10:uidLastSave="{00000000-0000-0000-0000-000000000000}"/>
  <bookViews>
    <workbookView xWindow="2190" yWindow="1140" windowWidth="26235" windowHeight="1138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r_x">Sheet1!$V$2</definedName>
    <definedName name="x_d">Sheet1!$V$4</definedName>
    <definedName name="x_p">Sheet1!$V$3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6" i="1" l="1"/>
  <c r="D56" i="1"/>
  <c r="E56" i="1"/>
  <c r="H56" i="1" s="1"/>
  <c r="G56" i="1"/>
  <c r="C57" i="1"/>
  <c r="G57" i="1" s="1"/>
  <c r="D57" i="1"/>
  <c r="E57" i="1"/>
  <c r="I57" i="1" s="1"/>
  <c r="H57" i="1"/>
  <c r="C58" i="1"/>
  <c r="G58" i="1" s="1"/>
  <c r="J58" i="1" s="1"/>
  <c r="D58" i="1"/>
  <c r="E58" i="1"/>
  <c r="H58" i="1"/>
  <c r="I58" i="1"/>
  <c r="C59" i="1"/>
  <c r="G59" i="1" s="1"/>
  <c r="D59" i="1"/>
  <c r="E59" i="1"/>
  <c r="H59" i="1" s="1"/>
  <c r="C60" i="1"/>
  <c r="D60" i="1"/>
  <c r="E60" i="1"/>
  <c r="H60" i="1" s="1"/>
  <c r="G60" i="1"/>
  <c r="C61" i="1"/>
  <c r="G61" i="1" s="1"/>
  <c r="J61" i="1" s="1"/>
  <c r="D61" i="1"/>
  <c r="E61" i="1"/>
  <c r="H61" i="1"/>
  <c r="I61" i="1"/>
  <c r="C62" i="1"/>
  <c r="G62" i="1" s="1"/>
  <c r="J62" i="1" s="1"/>
  <c r="D62" i="1"/>
  <c r="E62" i="1"/>
  <c r="H62" i="1"/>
  <c r="I62" i="1"/>
  <c r="C63" i="1"/>
  <c r="D63" i="1"/>
  <c r="G63" i="1" s="1"/>
  <c r="E63" i="1"/>
  <c r="H63" i="1" s="1"/>
  <c r="C64" i="1"/>
  <c r="D64" i="1"/>
  <c r="E64" i="1"/>
  <c r="H64" i="1" s="1"/>
  <c r="G64" i="1"/>
  <c r="C65" i="1"/>
  <c r="G65" i="1" s="1"/>
  <c r="J65" i="1" s="1"/>
  <c r="D65" i="1"/>
  <c r="E65" i="1"/>
  <c r="H65" i="1"/>
  <c r="I65" i="1"/>
  <c r="C66" i="1"/>
  <c r="G66" i="1" s="1"/>
  <c r="J66" i="1" s="1"/>
  <c r="D66" i="1"/>
  <c r="E66" i="1"/>
  <c r="H66" i="1"/>
  <c r="I66" i="1"/>
  <c r="C67" i="1"/>
  <c r="D67" i="1"/>
  <c r="G67" i="1" s="1"/>
  <c r="E67" i="1"/>
  <c r="H67" i="1" s="1"/>
  <c r="C68" i="1"/>
  <c r="D68" i="1"/>
  <c r="E68" i="1"/>
  <c r="H68" i="1" s="1"/>
  <c r="G68" i="1"/>
  <c r="C69" i="1"/>
  <c r="G69" i="1" s="1"/>
  <c r="J69" i="1" s="1"/>
  <c r="D69" i="1"/>
  <c r="E69" i="1"/>
  <c r="H69" i="1"/>
  <c r="I69" i="1"/>
  <c r="C70" i="1"/>
  <c r="G70" i="1" s="1"/>
  <c r="J70" i="1" s="1"/>
  <c r="D70" i="1"/>
  <c r="E70" i="1"/>
  <c r="H70" i="1"/>
  <c r="I70" i="1"/>
  <c r="C71" i="1"/>
  <c r="D71" i="1"/>
  <c r="G71" i="1" s="1"/>
  <c r="E71" i="1"/>
  <c r="I71" i="1" s="1"/>
  <c r="C72" i="1"/>
  <c r="D72" i="1"/>
  <c r="E72" i="1"/>
  <c r="H72" i="1" s="1"/>
  <c r="G72" i="1"/>
  <c r="C73" i="1"/>
  <c r="G73" i="1" s="1"/>
  <c r="J73" i="1" s="1"/>
  <c r="D73" i="1"/>
  <c r="E73" i="1"/>
  <c r="H73" i="1"/>
  <c r="I73" i="1"/>
  <c r="C74" i="1"/>
  <c r="H74" i="1" s="1"/>
  <c r="D74" i="1"/>
  <c r="E74" i="1"/>
  <c r="I74" i="1"/>
  <c r="C75" i="1"/>
  <c r="D75" i="1"/>
  <c r="G75" i="1" s="1"/>
  <c r="E75" i="1"/>
  <c r="H75" i="1" s="1"/>
  <c r="C76" i="1"/>
  <c r="D76" i="1"/>
  <c r="E76" i="1"/>
  <c r="H76" i="1" s="1"/>
  <c r="G76" i="1"/>
  <c r="C77" i="1"/>
  <c r="G77" i="1" s="1"/>
  <c r="J77" i="1" s="1"/>
  <c r="D77" i="1"/>
  <c r="E77" i="1"/>
  <c r="H77" i="1"/>
  <c r="I77" i="1"/>
  <c r="C78" i="1"/>
  <c r="H78" i="1" s="1"/>
  <c r="D78" i="1"/>
  <c r="E78" i="1"/>
  <c r="I78" i="1"/>
  <c r="C79" i="1"/>
  <c r="D79" i="1"/>
  <c r="G79" i="1" s="1"/>
  <c r="E79" i="1"/>
  <c r="H79" i="1" s="1"/>
  <c r="C80" i="1"/>
  <c r="D80" i="1"/>
  <c r="E80" i="1"/>
  <c r="H80" i="1" s="1"/>
  <c r="G80" i="1"/>
  <c r="C81" i="1"/>
  <c r="G81" i="1" s="1"/>
  <c r="J81" i="1" s="1"/>
  <c r="D81" i="1"/>
  <c r="E81" i="1"/>
  <c r="H81" i="1"/>
  <c r="I81" i="1"/>
  <c r="C82" i="1"/>
  <c r="H82" i="1" s="1"/>
  <c r="D82" i="1"/>
  <c r="E82" i="1"/>
  <c r="I82" i="1"/>
  <c r="C83" i="1"/>
  <c r="D83" i="1"/>
  <c r="G83" i="1" s="1"/>
  <c r="E83" i="1"/>
  <c r="H83" i="1" s="1"/>
  <c r="C84" i="1"/>
  <c r="D84" i="1"/>
  <c r="E84" i="1"/>
  <c r="H84" i="1" s="1"/>
  <c r="G84" i="1"/>
  <c r="C85" i="1"/>
  <c r="G85" i="1" s="1"/>
  <c r="D85" i="1"/>
  <c r="E85" i="1"/>
  <c r="I85" i="1"/>
  <c r="C86" i="1"/>
  <c r="H86" i="1" s="1"/>
  <c r="D86" i="1"/>
  <c r="I86" i="1" s="1"/>
  <c r="E86" i="1"/>
  <c r="C87" i="1"/>
  <c r="D87" i="1"/>
  <c r="G87" i="1" s="1"/>
  <c r="E87" i="1"/>
  <c r="H87" i="1" s="1"/>
  <c r="C88" i="1"/>
  <c r="D88" i="1"/>
  <c r="E88" i="1"/>
  <c r="H88" i="1" s="1"/>
  <c r="G88" i="1"/>
  <c r="C89" i="1"/>
  <c r="G89" i="1" s="1"/>
  <c r="J89" i="1" s="1"/>
  <c r="D89" i="1"/>
  <c r="E89" i="1"/>
  <c r="H89" i="1"/>
  <c r="I89" i="1"/>
  <c r="C90" i="1"/>
  <c r="H90" i="1" s="1"/>
  <c r="D90" i="1"/>
  <c r="E90" i="1"/>
  <c r="I90" i="1"/>
  <c r="C91" i="1"/>
  <c r="D91" i="1"/>
  <c r="G91" i="1" s="1"/>
  <c r="E91" i="1"/>
  <c r="H91" i="1" s="1"/>
  <c r="C92" i="1"/>
  <c r="D92" i="1"/>
  <c r="E92" i="1"/>
  <c r="H92" i="1" s="1"/>
  <c r="G92" i="1"/>
  <c r="C93" i="1"/>
  <c r="G93" i="1" s="1"/>
  <c r="J93" i="1" s="1"/>
  <c r="D93" i="1"/>
  <c r="E93" i="1"/>
  <c r="H93" i="1"/>
  <c r="I93" i="1"/>
  <c r="C94" i="1"/>
  <c r="G94" i="1" s="1"/>
  <c r="D94" i="1"/>
  <c r="E94" i="1"/>
  <c r="I94" i="1"/>
  <c r="C95" i="1"/>
  <c r="D95" i="1"/>
  <c r="G95" i="1" s="1"/>
  <c r="E95" i="1"/>
  <c r="H95" i="1" s="1"/>
  <c r="C96" i="1"/>
  <c r="D96" i="1"/>
  <c r="E96" i="1"/>
  <c r="H96" i="1" s="1"/>
  <c r="G96" i="1"/>
  <c r="C97" i="1"/>
  <c r="G97" i="1" s="1"/>
  <c r="J97" i="1" s="1"/>
  <c r="D97" i="1"/>
  <c r="E97" i="1"/>
  <c r="H97" i="1"/>
  <c r="I97" i="1"/>
  <c r="C98" i="1"/>
  <c r="G98" i="1" s="1"/>
  <c r="D98" i="1"/>
  <c r="I98" i="1" s="1"/>
  <c r="E98" i="1"/>
  <c r="C99" i="1"/>
  <c r="D99" i="1"/>
  <c r="G99" i="1" s="1"/>
  <c r="E99" i="1"/>
  <c r="H99" i="1" s="1"/>
  <c r="C100" i="1"/>
  <c r="D100" i="1"/>
  <c r="E100" i="1"/>
  <c r="H100" i="1" s="1"/>
  <c r="G100" i="1"/>
  <c r="C101" i="1"/>
  <c r="G101" i="1" s="1"/>
  <c r="J101" i="1" s="1"/>
  <c r="D101" i="1"/>
  <c r="E101" i="1"/>
  <c r="H101" i="1"/>
  <c r="I101" i="1"/>
  <c r="C102" i="1"/>
  <c r="H102" i="1" s="1"/>
  <c r="D102" i="1"/>
  <c r="E102" i="1"/>
  <c r="I102" i="1"/>
  <c r="C6" i="1"/>
  <c r="D6" i="1"/>
  <c r="E6" i="1"/>
  <c r="G6" i="1"/>
  <c r="J6" i="1" s="1"/>
  <c r="H6" i="1"/>
  <c r="I6" i="1"/>
  <c r="C7" i="1"/>
  <c r="G7" i="1" s="1"/>
  <c r="D7" i="1"/>
  <c r="E7" i="1"/>
  <c r="I7" i="1" s="1"/>
  <c r="H7" i="1"/>
  <c r="C8" i="1"/>
  <c r="D8" i="1"/>
  <c r="G8" i="1" s="1"/>
  <c r="J8" i="1" s="1"/>
  <c r="E8" i="1"/>
  <c r="H8" i="1" s="1"/>
  <c r="I8" i="1"/>
  <c r="C9" i="1"/>
  <c r="G9" i="1" s="1"/>
  <c r="D9" i="1"/>
  <c r="E9" i="1"/>
  <c r="H9" i="1" s="1"/>
  <c r="C10" i="1"/>
  <c r="D10" i="1"/>
  <c r="E10" i="1"/>
  <c r="G10" i="1"/>
  <c r="J10" i="1" s="1"/>
  <c r="H10" i="1"/>
  <c r="I10" i="1"/>
  <c r="C11" i="1"/>
  <c r="G11" i="1" s="1"/>
  <c r="J11" i="1" s="1"/>
  <c r="D11" i="1"/>
  <c r="E11" i="1"/>
  <c r="I11" i="1" s="1"/>
  <c r="H11" i="1"/>
  <c r="C12" i="1"/>
  <c r="D12" i="1"/>
  <c r="G12" i="1" s="1"/>
  <c r="E12" i="1"/>
  <c r="H12" i="1" s="1"/>
  <c r="I12" i="1"/>
  <c r="C13" i="1"/>
  <c r="G13" i="1" s="1"/>
  <c r="D13" i="1"/>
  <c r="E13" i="1"/>
  <c r="H13" i="1" s="1"/>
  <c r="C14" i="1"/>
  <c r="D14" i="1"/>
  <c r="E14" i="1"/>
  <c r="G14" i="1"/>
  <c r="J14" i="1" s="1"/>
  <c r="H14" i="1"/>
  <c r="I14" i="1"/>
  <c r="C15" i="1"/>
  <c r="G15" i="1" s="1"/>
  <c r="J15" i="1" s="1"/>
  <c r="D15" i="1"/>
  <c r="E15" i="1"/>
  <c r="I15" i="1" s="1"/>
  <c r="H15" i="1"/>
  <c r="C16" i="1"/>
  <c r="D16" i="1"/>
  <c r="G16" i="1" s="1"/>
  <c r="J16" i="1" s="1"/>
  <c r="E16" i="1"/>
  <c r="H16" i="1" s="1"/>
  <c r="I16" i="1"/>
  <c r="C17" i="1"/>
  <c r="G17" i="1" s="1"/>
  <c r="D17" i="1"/>
  <c r="E17" i="1"/>
  <c r="H17" i="1" s="1"/>
  <c r="C18" i="1"/>
  <c r="D18" i="1"/>
  <c r="E18" i="1"/>
  <c r="G18" i="1"/>
  <c r="J18" i="1" s="1"/>
  <c r="H18" i="1"/>
  <c r="I18" i="1"/>
  <c r="C19" i="1"/>
  <c r="G19" i="1" s="1"/>
  <c r="J19" i="1" s="1"/>
  <c r="D19" i="1"/>
  <c r="E19" i="1"/>
  <c r="I19" i="1" s="1"/>
  <c r="H19" i="1"/>
  <c r="C20" i="1"/>
  <c r="D20" i="1"/>
  <c r="G20" i="1" s="1"/>
  <c r="E20" i="1"/>
  <c r="H20" i="1" s="1"/>
  <c r="I20" i="1"/>
  <c r="C21" i="1"/>
  <c r="G21" i="1" s="1"/>
  <c r="D21" i="1"/>
  <c r="E21" i="1"/>
  <c r="H21" i="1" s="1"/>
  <c r="C22" i="1"/>
  <c r="D22" i="1"/>
  <c r="E22" i="1"/>
  <c r="G22" i="1"/>
  <c r="J22" i="1" s="1"/>
  <c r="H22" i="1"/>
  <c r="I22" i="1"/>
  <c r="C23" i="1"/>
  <c r="G23" i="1" s="1"/>
  <c r="D23" i="1"/>
  <c r="E23" i="1"/>
  <c r="I23" i="1" s="1"/>
  <c r="H23" i="1"/>
  <c r="C24" i="1"/>
  <c r="D24" i="1"/>
  <c r="G24" i="1" s="1"/>
  <c r="J24" i="1" s="1"/>
  <c r="E24" i="1"/>
  <c r="H24" i="1" s="1"/>
  <c r="I24" i="1"/>
  <c r="C25" i="1"/>
  <c r="G25" i="1" s="1"/>
  <c r="D25" i="1"/>
  <c r="E25" i="1"/>
  <c r="H25" i="1" s="1"/>
  <c r="C26" i="1"/>
  <c r="D26" i="1"/>
  <c r="E26" i="1"/>
  <c r="G26" i="1"/>
  <c r="J26" i="1" s="1"/>
  <c r="H26" i="1"/>
  <c r="I26" i="1"/>
  <c r="C27" i="1"/>
  <c r="G27" i="1" s="1"/>
  <c r="D27" i="1"/>
  <c r="E27" i="1"/>
  <c r="I27" i="1" s="1"/>
  <c r="H27" i="1"/>
  <c r="C28" i="1"/>
  <c r="D28" i="1"/>
  <c r="G28" i="1" s="1"/>
  <c r="E28" i="1"/>
  <c r="H28" i="1" s="1"/>
  <c r="I28" i="1"/>
  <c r="C29" i="1"/>
  <c r="G29" i="1" s="1"/>
  <c r="D29" i="1"/>
  <c r="E29" i="1"/>
  <c r="H29" i="1" s="1"/>
  <c r="C30" i="1"/>
  <c r="D30" i="1"/>
  <c r="E30" i="1"/>
  <c r="G30" i="1"/>
  <c r="J30" i="1" s="1"/>
  <c r="H30" i="1"/>
  <c r="I30" i="1"/>
  <c r="C31" i="1"/>
  <c r="G31" i="1" s="1"/>
  <c r="J31" i="1" s="1"/>
  <c r="D31" i="1"/>
  <c r="E31" i="1"/>
  <c r="I31" i="1" s="1"/>
  <c r="H31" i="1"/>
  <c r="C32" i="1"/>
  <c r="D32" i="1"/>
  <c r="G32" i="1" s="1"/>
  <c r="J32" i="1" s="1"/>
  <c r="E32" i="1"/>
  <c r="H32" i="1" s="1"/>
  <c r="I32" i="1"/>
  <c r="C33" i="1"/>
  <c r="G33" i="1" s="1"/>
  <c r="D33" i="1"/>
  <c r="E33" i="1"/>
  <c r="H33" i="1" s="1"/>
  <c r="C34" i="1"/>
  <c r="D34" i="1"/>
  <c r="E34" i="1"/>
  <c r="G34" i="1"/>
  <c r="J34" i="1" s="1"/>
  <c r="H34" i="1"/>
  <c r="I34" i="1"/>
  <c r="C35" i="1"/>
  <c r="G35" i="1" s="1"/>
  <c r="J35" i="1" s="1"/>
  <c r="D35" i="1"/>
  <c r="E35" i="1"/>
  <c r="I35" i="1" s="1"/>
  <c r="H35" i="1"/>
  <c r="C36" i="1"/>
  <c r="D36" i="1"/>
  <c r="G36" i="1" s="1"/>
  <c r="E36" i="1"/>
  <c r="H36" i="1" s="1"/>
  <c r="I36" i="1"/>
  <c r="C37" i="1"/>
  <c r="G37" i="1" s="1"/>
  <c r="D37" i="1"/>
  <c r="E37" i="1"/>
  <c r="H37" i="1" s="1"/>
  <c r="C38" i="1"/>
  <c r="D38" i="1"/>
  <c r="E38" i="1"/>
  <c r="G38" i="1"/>
  <c r="J38" i="1" s="1"/>
  <c r="H38" i="1"/>
  <c r="I38" i="1"/>
  <c r="C39" i="1"/>
  <c r="G39" i="1" s="1"/>
  <c r="D39" i="1"/>
  <c r="E39" i="1"/>
  <c r="I39" i="1" s="1"/>
  <c r="H39" i="1"/>
  <c r="C40" i="1"/>
  <c r="D40" i="1"/>
  <c r="G40" i="1" s="1"/>
  <c r="J40" i="1" s="1"/>
  <c r="E40" i="1"/>
  <c r="H40" i="1" s="1"/>
  <c r="I40" i="1"/>
  <c r="C41" i="1"/>
  <c r="G41" i="1" s="1"/>
  <c r="D41" i="1"/>
  <c r="E41" i="1"/>
  <c r="I41" i="1" s="1"/>
  <c r="C42" i="1"/>
  <c r="D42" i="1"/>
  <c r="I42" i="1" s="1"/>
  <c r="E42" i="1"/>
  <c r="G42" i="1"/>
  <c r="J42" i="1" s="1"/>
  <c r="H42" i="1"/>
  <c r="C43" i="1"/>
  <c r="G43" i="1" s="1"/>
  <c r="D43" i="1"/>
  <c r="E43" i="1"/>
  <c r="I43" i="1" s="1"/>
  <c r="H43" i="1"/>
  <c r="C44" i="1"/>
  <c r="D44" i="1"/>
  <c r="G44" i="1" s="1"/>
  <c r="J44" i="1" s="1"/>
  <c r="E44" i="1"/>
  <c r="H44" i="1" s="1"/>
  <c r="I44" i="1"/>
  <c r="C45" i="1"/>
  <c r="G45" i="1" s="1"/>
  <c r="D45" i="1"/>
  <c r="E45" i="1"/>
  <c r="I45" i="1" s="1"/>
  <c r="C46" i="1"/>
  <c r="D46" i="1"/>
  <c r="I46" i="1" s="1"/>
  <c r="E46" i="1"/>
  <c r="G46" i="1"/>
  <c r="J46" i="1" s="1"/>
  <c r="H46" i="1"/>
  <c r="C47" i="1"/>
  <c r="G47" i="1" s="1"/>
  <c r="D47" i="1"/>
  <c r="E47" i="1"/>
  <c r="I47" i="1" s="1"/>
  <c r="H47" i="1"/>
  <c r="C48" i="1"/>
  <c r="D48" i="1"/>
  <c r="G48" i="1" s="1"/>
  <c r="J48" i="1" s="1"/>
  <c r="E48" i="1"/>
  <c r="H48" i="1" s="1"/>
  <c r="I48" i="1"/>
  <c r="C49" i="1"/>
  <c r="G49" i="1" s="1"/>
  <c r="D49" i="1"/>
  <c r="E49" i="1"/>
  <c r="I49" i="1" s="1"/>
  <c r="C50" i="1"/>
  <c r="D50" i="1"/>
  <c r="E50" i="1"/>
  <c r="G50" i="1"/>
  <c r="J50" i="1" s="1"/>
  <c r="H50" i="1"/>
  <c r="I50" i="1"/>
  <c r="C51" i="1"/>
  <c r="G51" i="1" s="1"/>
  <c r="J51" i="1" s="1"/>
  <c r="D51" i="1"/>
  <c r="E51" i="1"/>
  <c r="I51" i="1" s="1"/>
  <c r="H51" i="1"/>
  <c r="C52" i="1"/>
  <c r="D52" i="1"/>
  <c r="G52" i="1" s="1"/>
  <c r="E52" i="1"/>
  <c r="H52" i="1" s="1"/>
  <c r="I52" i="1"/>
  <c r="C53" i="1"/>
  <c r="G53" i="1" s="1"/>
  <c r="D53" i="1"/>
  <c r="E53" i="1"/>
  <c r="H53" i="1" s="1"/>
  <c r="J4" i="1"/>
  <c r="J84" i="1" l="1"/>
  <c r="J87" i="1"/>
  <c r="J79" i="1"/>
  <c r="J75" i="1"/>
  <c r="J59" i="1"/>
  <c r="J100" i="1"/>
  <c r="J92" i="1"/>
  <c r="J88" i="1"/>
  <c r="J57" i="1"/>
  <c r="H98" i="1"/>
  <c r="J98" i="1" s="1"/>
  <c r="H94" i="1"/>
  <c r="J94" i="1" s="1"/>
  <c r="I91" i="1"/>
  <c r="J91" i="1" s="1"/>
  <c r="I87" i="1"/>
  <c r="I83" i="1"/>
  <c r="J83" i="1" s="1"/>
  <c r="I79" i="1"/>
  <c r="I75" i="1"/>
  <c r="I67" i="1"/>
  <c r="J67" i="1" s="1"/>
  <c r="I63" i="1"/>
  <c r="J63" i="1" s="1"/>
  <c r="I59" i="1"/>
  <c r="G102" i="1"/>
  <c r="J102" i="1" s="1"/>
  <c r="I100" i="1"/>
  <c r="I96" i="1"/>
  <c r="J96" i="1" s="1"/>
  <c r="I92" i="1"/>
  <c r="G90" i="1"/>
  <c r="J90" i="1" s="1"/>
  <c r="I88" i="1"/>
  <c r="G86" i="1"/>
  <c r="J86" i="1" s="1"/>
  <c r="I84" i="1"/>
  <c r="G82" i="1"/>
  <c r="J82" i="1" s="1"/>
  <c r="I80" i="1"/>
  <c r="J80" i="1" s="1"/>
  <c r="G78" i="1"/>
  <c r="J78" i="1" s="1"/>
  <c r="I76" i="1"/>
  <c r="J76" i="1" s="1"/>
  <c r="G74" i="1"/>
  <c r="J74" i="1" s="1"/>
  <c r="I72" i="1"/>
  <c r="J72" i="1" s="1"/>
  <c r="H71" i="1"/>
  <c r="J71" i="1" s="1"/>
  <c r="I68" i="1"/>
  <c r="J68" i="1" s="1"/>
  <c r="I64" i="1"/>
  <c r="J64" i="1" s="1"/>
  <c r="I60" i="1"/>
  <c r="J60" i="1" s="1"/>
  <c r="I56" i="1"/>
  <c r="J56" i="1" s="1"/>
  <c r="H85" i="1"/>
  <c r="J85" i="1" s="1"/>
  <c r="I99" i="1"/>
  <c r="J99" i="1" s="1"/>
  <c r="I95" i="1"/>
  <c r="J95" i="1" s="1"/>
  <c r="J27" i="1"/>
  <c r="J47" i="1"/>
  <c r="J43" i="1"/>
  <c r="J41" i="1"/>
  <c r="J39" i="1"/>
  <c r="J36" i="1"/>
  <c r="J23" i="1"/>
  <c r="J20" i="1"/>
  <c r="J7" i="1"/>
  <c r="J52" i="1"/>
  <c r="J33" i="1"/>
  <c r="J28" i="1"/>
  <c r="J12" i="1"/>
  <c r="I53" i="1"/>
  <c r="J53" i="1" s="1"/>
  <c r="I37" i="1"/>
  <c r="J37" i="1" s="1"/>
  <c r="I33" i="1"/>
  <c r="I29" i="1"/>
  <c r="J29" i="1" s="1"/>
  <c r="I25" i="1"/>
  <c r="J25" i="1" s="1"/>
  <c r="I21" i="1"/>
  <c r="J21" i="1" s="1"/>
  <c r="I17" i="1"/>
  <c r="J17" i="1" s="1"/>
  <c r="I13" i="1"/>
  <c r="J13" i="1" s="1"/>
  <c r="I9" i="1"/>
  <c r="J9" i="1" s="1"/>
  <c r="H49" i="1"/>
  <c r="J49" i="1" s="1"/>
  <c r="H45" i="1"/>
  <c r="J45" i="1" s="1"/>
  <c r="H41" i="1"/>
  <c r="V8" i="1"/>
  <c r="V7" i="1"/>
  <c r="V6" i="1"/>
  <c r="V10" i="1" l="1"/>
  <c r="V12" i="1" s="1"/>
  <c r="U14" i="1" s="1"/>
  <c r="C55" i="1"/>
  <c r="D55" i="1"/>
  <c r="G55" i="1" s="1"/>
  <c r="E55" i="1"/>
  <c r="H55" i="1" s="1"/>
  <c r="E54" i="1"/>
  <c r="D54" i="1"/>
  <c r="C54" i="1"/>
  <c r="C5" i="1"/>
  <c r="G5" i="1" s="1"/>
  <c r="D5" i="1"/>
  <c r="E5" i="1"/>
  <c r="E4" i="1"/>
  <c r="D4" i="1"/>
  <c r="C4" i="1"/>
  <c r="U15" i="1" l="1"/>
  <c r="H4" i="1"/>
  <c r="H5" i="1"/>
  <c r="I54" i="1"/>
  <c r="I55" i="1"/>
  <c r="J55" i="1" s="1"/>
  <c r="G54" i="1"/>
  <c r="H54" i="1"/>
  <c r="J54" i="1" s="1"/>
  <c r="I5" i="1"/>
  <c r="J5" i="1" s="1"/>
  <c r="I4" i="1"/>
  <c r="G4" i="1"/>
</calcChain>
</file>

<file path=xl/sharedStrings.xml><?xml version="1.0" encoding="utf-8"?>
<sst xmlns="http://schemas.openxmlformats.org/spreadsheetml/2006/main" count="39" uniqueCount="31">
  <si>
    <t>a</t>
  </si>
  <si>
    <t>b</t>
  </si>
  <si>
    <t>c</t>
  </si>
  <si>
    <t>surface</t>
  </si>
  <si>
    <t>p</t>
  </si>
  <si>
    <t>ab</t>
  </si>
  <si>
    <t>bc</t>
  </si>
  <si>
    <t>bb</t>
  </si>
  <si>
    <t>Scale all</t>
  </si>
  <si>
    <t>scale 1</t>
  </si>
  <si>
    <t>Surface area</t>
  </si>
  <si>
    <t>Interception</t>
  </si>
  <si>
    <t>(x_p + x_d * t)^2</t>
  </si>
  <si>
    <t>x^2/a^2</t>
  </si>
  <si>
    <t>x_p + x_d</t>
  </si>
  <si>
    <t>=</t>
  </si>
  <si>
    <t>x</t>
  </si>
  <si>
    <t>1</t>
  </si>
  <si>
    <t>x_d^2</t>
  </si>
  <si>
    <t>x_d</t>
  </si>
  <si>
    <t>r_x</t>
  </si>
  <si>
    <t>x_p</t>
  </si>
  <si>
    <t>d</t>
  </si>
  <si>
    <t>x_p^2</t>
  </si>
  <si>
    <t>x_d^2 * t^2</t>
  </si>
  <si>
    <t>2x_p</t>
  </si>
  <si>
    <t>2x_d * t</t>
  </si>
  <si>
    <t>x_p^2 + x_d^2 * t^2 + 2 * (x_p * x_d * t)</t>
  </si>
  <si>
    <t>2 * x_p * x_d</t>
  </si>
  <si>
    <t>x_p^2 - 1</t>
  </si>
  <si>
    <t>d_r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</si>
</sst>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V102"/>
  <sheetViews>
    <sheetView tabSelected="1" topLeftCell="A52" workbookViewId="0">
      <selection activeCell="G4" sqref="G4"/>
    </sheetView>
  </sheetViews>
  <sheetFormatPr defaultRowHeight="15" x14ac:dyDescent="0.25"/>
  <cols>
    <col min="6" max="6" width="19.5703125" customWidth="1"/>
    <col min="7" max="7" width="3" customWidth="1"/>
    <col min="8" max="8" width="4.7109375" customWidth="1"/>
    <col min="9" max="9" width="2.7109375" customWidth="1"/>
    <col min="10" max="10" width="8" bestFit="1" customWidth="1"/>
    <col min="11" max="12" width="12" bestFit="1" customWidth="1"/>
    <col min="13" max="13" width="7.42578125" customWidth="1"/>
    <col min="14" max="14" width="17.85546875" customWidth="1"/>
    <col min="15" max="15" width="2.42578125" customWidth="1"/>
    <col min="17" max="17" width="10.85546875" customWidth="1"/>
  </cols>
  <sheetData>
    <row r="1" spans="1:22" ht="23.25" x14ac:dyDescent="0.35">
      <c r="A1" s="1" t="s">
        <v>10</v>
      </c>
      <c r="N1" s="1" t="s">
        <v>11</v>
      </c>
    </row>
    <row r="2" spans="1:22" x14ac:dyDescent="0.25">
      <c r="U2" t="s">
        <v>20</v>
      </c>
      <c r="V2">
        <v>15</v>
      </c>
    </row>
    <row r="3" spans="1:22" x14ac:dyDescent="0.25">
      <c r="A3" t="s">
        <v>8</v>
      </c>
      <c r="B3" t="s">
        <v>9</v>
      </c>
      <c r="C3" t="s">
        <v>0</v>
      </c>
      <c r="D3" t="s">
        <v>1</v>
      </c>
      <c r="E3" t="s">
        <v>2</v>
      </c>
      <c r="F3" t="s">
        <v>4</v>
      </c>
      <c r="G3" t="s">
        <v>5</v>
      </c>
      <c r="H3" t="s">
        <v>7</v>
      </c>
      <c r="I3" t="s">
        <v>6</v>
      </c>
      <c r="J3" t="s">
        <v>3</v>
      </c>
      <c r="N3" t="s">
        <v>13</v>
      </c>
      <c r="O3" t="s">
        <v>15</v>
      </c>
      <c r="P3" s="2" t="s">
        <v>17</v>
      </c>
      <c r="U3" t="s">
        <v>21</v>
      </c>
      <c r="V3">
        <v>30</v>
      </c>
    </row>
    <row r="4" spans="1:22" x14ac:dyDescent="0.25">
      <c r="A4">
        <v>1</v>
      </c>
      <c r="B4">
        <v>1</v>
      </c>
      <c r="C4">
        <f>1*A4*B4</f>
        <v>1</v>
      </c>
      <c r="D4">
        <f>1*A4</f>
        <v>1</v>
      </c>
      <c r="E4">
        <f>1*A4</f>
        <v>1</v>
      </c>
      <c r="F4">
        <v>1.6074999999999999</v>
      </c>
      <c r="G4">
        <f>C4^F4*D4^F4</f>
        <v>1</v>
      </c>
      <c r="H4">
        <f>C4^F4*E4^F4</f>
        <v>1</v>
      </c>
      <c r="I4">
        <f>D4^F4*E4^F4</f>
        <v>1</v>
      </c>
      <c r="J4">
        <f>4*PI()*((G4+H4+I4)/3)^(1/F4)</f>
        <v>12.566370614359172</v>
      </c>
      <c r="N4" t="s">
        <v>14</v>
      </c>
      <c r="O4" t="s">
        <v>15</v>
      </c>
      <c r="P4" t="s">
        <v>16</v>
      </c>
      <c r="U4" t="s">
        <v>19</v>
      </c>
      <c r="V4">
        <v>-1</v>
      </c>
    </row>
    <row r="5" spans="1:22" x14ac:dyDescent="0.25">
      <c r="A5">
        <v>1</v>
      </c>
      <c r="B5">
        <v>2</v>
      </c>
      <c r="C5">
        <f>1*A5*B5</f>
        <v>2</v>
      </c>
      <c r="D5">
        <f>1*A5</f>
        <v>1</v>
      </c>
      <c r="E5">
        <f>1*A5</f>
        <v>1</v>
      </c>
      <c r="F5">
        <v>1.6074999999999999</v>
      </c>
      <c r="G5">
        <f>C5^F5*D5^F5</f>
        <v>3.0472333870364703</v>
      </c>
      <c r="H5">
        <f>C5^F5*E5^F5</f>
        <v>3.0472333870364703</v>
      </c>
      <c r="I5">
        <f>D5^F5*E5^F5</f>
        <v>1</v>
      </c>
      <c r="J5">
        <f>4*PI()*((G5+H5+I5)/3)^(1/F5)</f>
        <v>21.465644166748454</v>
      </c>
      <c r="N5" t="s">
        <v>12</v>
      </c>
      <c r="O5" t="s">
        <v>15</v>
      </c>
      <c r="P5" t="s">
        <v>27</v>
      </c>
    </row>
    <row r="6" spans="1:22" x14ac:dyDescent="0.25">
      <c r="A6">
        <v>1</v>
      </c>
      <c r="B6">
        <v>3</v>
      </c>
      <c r="C6">
        <f t="shared" ref="C6:C53" si="0">1*A6*B6</f>
        <v>3</v>
      </c>
      <c r="D6">
        <f t="shared" ref="D6:D53" si="1">1*A6</f>
        <v>1</v>
      </c>
      <c r="E6">
        <f t="shared" ref="E6:E53" si="2">1*A6</f>
        <v>1</v>
      </c>
      <c r="F6">
        <v>1.6074999999999999</v>
      </c>
      <c r="G6">
        <f t="shared" ref="G6:G53" si="3">C6^F6*D6^F6</f>
        <v>5.8475294396507804</v>
      </c>
      <c r="H6">
        <f t="shared" ref="H6:H53" si="4">C6^F6*E6^F6</f>
        <v>5.8475294396507804</v>
      </c>
      <c r="I6">
        <f t="shared" ref="I6:I53" si="5">D6^F6*E6^F6</f>
        <v>1</v>
      </c>
      <c r="J6">
        <f t="shared" ref="J6:J53" si="6">4*PI()*((G6+H6+I6)/3)^(1/F6)</f>
        <v>30.828603669887887</v>
      </c>
      <c r="U6" t="s">
        <v>0</v>
      </c>
      <c r="V6">
        <f>x_d^2/r_x^2</f>
        <v>4.4444444444444444E-3</v>
      </c>
    </row>
    <row r="7" spans="1:22" x14ac:dyDescent="0.25">
      <c r="A7">
        <v>1</v>
      </c>
      <c r="B7">
        <v>4</v>
      </c>
      <c r="C7">
        <f t="shared" si="0"/>
        <v>4</v>
      </c>
      <c r="D7">
        <f t="shared" si="1"/>
        <v>1</v>
      </c>
      <c r="E7">
        <f t="shared" si="2"/>
        <v>1</v>
      </c>
      <c r="F7">
        <v>1.6074999999999999</v>
      </c>
      <c r="G7">
        <f t="shared" si="3"/>
        <v>9.2856313150697591</v>
      </c>
      <c r="H7">
        <f t="shared" si="4"/>
        <v>9.2856313150697591</v>
      </c>
      <c r="I7">
        <f t="shared" si="5"/>
        <v>1</v>
      </c>
      <c r="J7">
        <f t="shared" si="6"/>
        <v>40.354852817033844</v>
      </c>
      <c r="U7" t="s">
        <v>1</v>
      </c>
      <c r="V7">
        <f>(2 * x_d * x_p)/r_x^2</f>
        <v>-0.26666666666666666</v>
      </c>
    </row>
    <row r="8" spans="1:22" x14ac:dyDescent="0.25">
      <c r="A8">
        <v>1</v>
      </c>
      <c r="B8">
        <v>5</v>
      </c>
      <c r="C8">
        <f t="shared" si="0"/>
        <v>5</v>
      </c>
      <c r="D8">
        <f t="shared" si="1"/>
        <v>1</v>
      </c>
      <c r="E8">
        <f t="shared" si="2"/>
        <v>1</v>
      </c>
      <c r="F8">
        <v>1.6074999999999999</v>
      </c>
      <c r="G8">
        <f t="shared" si="3"/>
        <v>13.292120874614364</v>
      </c>
      <c r="H8">
        <f t="shared" si="4"/>
        <v>13.292120874614364</v>
      </c>
      <c r="I8">
        <f t="shared" si="5"/>
        <v>1</v>
      </c>
      <c r="J8">
        <f t="shared" si="6"/>
        <v>49.958861898906392</v>
      </c>
      <c r="U8" t="s">
        <v>2</v>
      </c>
      <c r="V8">
        <f>(x_p^2) / r_x^2 - 1</f>
        <v>3</v>
      </c>
    </row>
    <row r="9" spans="1:22" x14ac:dyDescent="0.25">
      <c r="A9">
        <v>1</v>
      </c>
      <c r="B9">
        <v>6</v>
      </c>
      <c r="C9">
        <f t="shared" si="0"/>
        <v>6</v>
      </c>
      <c r="D9">
        <f t="shared" si="1"/>
        <v>1</v>
      </c>
      <c r="E9">
        <f t="shared" si="2"/>
        <v>1</v>
      </c>
      <c r="F9">
        <v>1.6074999999999999</v>
      </c>
      <c r="G9">
        <f t="shared" si="3"/>
        <v>17.818786940182516</v>
      </c>
      <c r="H9">
        <f t="shared" si="4"/>
        <v>17.818786940182516</v>
      </c>
      <c r="I9">
        <f t="shared" si="5"/>
        <v>1</v>
      </c>
      <c r="J9">
        <f t="shared" si="6"/>
        <v>59.606569359958819</v>
      </c>
      <c r="N9" t="s">
        <v>0</v>
      </c>
      <c r="P9" t="s">
        <v>18</v>
      </c>
    </row>
    <row r="10" spans="1:22" x14ac:dyDescent="0.25">
      <c r="A10">
        <v>1</v>
      </c>
      <c r="B10">
        <v>7</v>
      </c>
      <c r="C10">
        <f t="shared" si="0"/>
        <v>7</v>
      </c>
      <c r="D10">
        <f t="shared" si="1"/>
        <v>1</v>
      </c>
      <c r="E10">
        <f t="shared" si="2"/>
        <v>1</v>
      </c>
      <c r="F10">
        <v>1.6074999999999999</v>
      </c>
      <c r="G10">
        <f t="shared" si="3"/>
        <v>22.829431632872414</v>
      </c>
      <c r="H10">
        <f t="shared" si="4"/>
        <v>22.829431632872414</v>
      </c>
      <c r="I10">
        <f t="shared" si="5"/>
        <v>1</v>
      </c>
      <c r="J10">
        <f t="shared" si="6"/>
        <v>69.281547138648349</v>
      </c>
      <c r="N10" t="s">
        <v>1</v>
      </c>
      <c r="P10" t="s">
        <v>28</v>
      </c>
      <c r="U10" t="s">
        <v>22</v>
      </c>
      <c r="V10">
        <f>V7^2 - 4 * V6 * V8</f>
        <v>1.7777777777777781E-2</v>
      </c>
    </row>
    <row r="11" spans="1:22" x14ac:dyDescent="0.25">
      <c r="A11">
        <v>1</v>
      </c>
      <c r="B11">
        <v>8</v>
      </c>
      <c r="C11">
        <f t="shared" si="0"/>
        <v>8</v>
      </c>
      <c r="D11">
        <f t="shared" si="1"/>
        <v>1</v>
      </c>
      <c r="E11">
        <f t="shared" si="2"/>
        <v>1</v>
      </c>
      <c r="F11">
        <v>1.6074999999999999</v>
      </c>
      <c r="G11">
        <f t="shared" si="3"/>
        <v>28.29548576299193</v>
      </c>
      <c r="H11">
        <f t="shared" si="4"/>
        <v>28.29548576299193</v>
      </c>
      <c r="I11">
        <f t="shared" si="5"/>
        <v>1</v>
      </c>
      <c r="J11">
        <f t="shared" si="6"/>
        <v>78.974821151154416</v>
      </c>
      <c r="N11" t="s">
        <v>2</v>
      </c>
      <c r="P11" t="s">
        <v>29</v>
      </c>
    </row>
    <row r="12" spans="1:22" x14ac:dyDescent="0.25">
      <c r="A12">
        <v>1</v>
      </c>
      <c r="B12">
        <v>9</v>
      </c>
      <c r="C12">
        <f t="shared" si="0"/>
        <v>9</v>
      </c>
      <c r="D12">
        <f t="shared" si="1"/>
        <v>1</v>
      </c>
      <c r="E12">
        <f t="shared" si="2"/>
        <v>1</v>
      </c>
      <c r="F12">
        <v>1.6074999999999999</v>
      </c>
      <c r="G12">
        <f t="shared" si="3"/>
        <v>34.19360054758257</v>
      </c>
      <c r="H12">
        <f t="shared" si="4"/>
        <v>34.19360054758257</v>
      </c>
      <c r="I12">
        <f t="shared" si="5"/>
        <v>1</v>
      </c>
      <c r="J12">
        <f t="shared" si="6"/>
        <v>88.681039512084496</v>
      </c>
      <c r="U12" t="s">
        <v>30</v>
      </c>
      <c r="V12">
        <f>SQRT(V10)</f>
        <v>0.13333333333333336</v>
      </c>
    </row>
    <row r="13" spans="1:22" x14ac:dyDescent="0.25">
      <c r="A13">
        <v>1</v>
      </c>
      <c r="B13">
        <v>10</v>
      </c>
      <c r="C13">
        <f t="shared" si="0"/>
        <v>10</v>
      </c>
      <c r="D13">
        <f t="shared" si="1"/>
        <v>1</v>
      </c>
      <c r="E13">
        <f t="shared" si="2"/>
        <v>1</v>
      </c>
      <c r="F13">
        <v>1.6074999999999999</v>
      </c>
      <c r="G13">
        <f t="shared" si="3"/>
        <v>40.504194513649324</v>
      </c>
      <c r="H13">
        <f t="shared" si="4"/>
        <v>40.504194513649324</v>
      </c>
      <c r="I13">
        <f t="shared" si="5"/>
        <v>1</v>
      </c>
      <c r="J13">
        <f t="shared" si="6"/>
        <v>98.39679512310903</v>
      </c>
    </row>
    <row r="14" spans="1:22" x14ac:dyDescent="0.25">
      <c r="A14">
        <v>1</v>
      </c>
      <c r="B14">
        <v>11</v>
      </c>
      <c r="C14">
        <f t="shared" si="0"/>
        <v>11</v>
      </c>
      <c r="D14">
        <f t="shared" si="1"/>
        <v>1</v>
      </c>
      <c r="E14">
        <f t="shared" si="2"/>
        <v>1</v>
      </c>
      <c r="F14">
        <v>1.6074999999999999</v>
      </c>
      <c r="G14">
        <f t="shared" si="3"/>
        <v>47.210515369134392</v>
      </c>
      <c r="H14">
        <f t="shared" si="4"/>
        <v>47.210515369134392</v>
      </c>
      <c r="I14">
        <f t="shared" si="5"/>
        <v>1</v>
      </c>
      <c r="J14">
        <f t="shared" si="6"/>
        <v>108.11980651552602</v>
      </c>
      <c r="P14" t="s">
        <v>23</v>
      </c>
      <c r="Q14" t="s">
        <v>24</v>
      </c>
      <c r="R14" t="s">
        <v>25</v>
      </c>
      <c r="S14" t="s">
        <v>26</v>
      </c>
      <c r="U14">
        <f>(-1 * V7 + V12)/(2 * V6)</f>
        <v>45</v>
      </c>
    </row>
    <row r="15" spans="1:22" x14ac:dyDescent="0.25">
      <c r="A15">
        <v>1</v>
      </c>
      <c r="B15">
        <v>12</v>
      </c>
      <c r="C15">
        <f t="shared" si="0"/>
        <v>12</v>
      </c>
      <c r="D15">
        <f t="shared" si="1"/>
        <v>1</v>
      </c>
      <c r="E15">
        <f t="shared" si="2"/>
        <v>1</v>
      </c>
      <c r="F15">
        <v>1.6074999999999999</v>
      </c>
      <c r="G15">
        <f t="shared" si="3"/>
        <v>54.298002480613604</v>
      </c>
      <c r="H15">
        <f t="shared" si="4"/>
        <v>54.298002480613604</v>
      </c>
      <c r="I15">
        <f t="shared" si="5"/>
        <v>1</v>
      </c>
      <c r="J15">
        <f t="shared" si="6"/>
        <v>117.84848312587312</v>
      </c>
      <c r="U15">
        <f>(-1 * V7 - V12) / (2 * V6)</f>
        <v>14.999999999999996</v>
      </c>
    </row>
    <row r="16" spans="1:22" x14ac:dyDescent="0.25">
      <c r="A16">
        <v>1</v>
      </c>
      <c r="B16">
        <v>13</v>
      </c>
      <c r="C16">
        <f t="shared" si="0"/>
        <v>13</v>
      </c>
      <c r="D16">
        <f t="shared" si="1"/>
        <v>1</v>
      </c>
      <c r="E16">
        <f t="shared" si="2"/>
        <v>1</v>
      </c>
      <c r="F16">
        <v>1.6074999999999999</v>
      </c>
      <c r="G16">
        <f t="shared" si="3"/>
        <v>61.753835819882696</v>
      </c>
      <c r="H16">
        <f t="shared" si="4"/>
        <v>61.753835819882696</v>
      </c>
      <c r="I16">
        <f t="shared" si="5"/>
        <v>1</v>
      </c>
      <c r="J16">
        <f t="shared" si="6"/>
        <v>127.58167896342603</v>
      </c>
    </row>
    <row r="17" spans="1:10" x14ac:dyDescent="0.25">
      <c r="A17">
        <v>1</v>
      </c>
      <c r="B17">
        <v>14</v>
      </c>
      <c r="C17">
        <f t="shared" si="0"/>
        <v>14</v>
      </c>
      <c r="D17">
        <f t="shared" si="1"/>
        <v>1</v>
      </c>
      <c r="E17">
        <f t="shared" si="2"/>
        <v>1</v>
      </c>
      <c r="F17">
        <v>1.6074999999999999</v>
      </c>
      <c r="G17">
        <f t="shared" si="3"/>
        <v>69.566606278755359</v>
      </c>
      <c r="H17">
        <f t="shared" si="4"/>
        <v>69.566606278755359</v>
      </c>
      <c r="I17">
        <f t="shared" si="5"/>
        <v>1</v>
      </c>
      <c r="J17">
        <f t="shared" si="6"/>
        <v>137.31854542355225</v>
      </c>
    </row>
    <row r="18" spans="1:10" x14ac:dyDescent="0.25">
      <c r="A18">
        <v>1</v>
      </c>
      <c r="B18">
        <v>15</v>
      </c>
      <c r="C18">
        <f t="shared" si="0"/>
        <v>15</v>
      </c>
      <c r="D18">
        <f t="shared" si="1"/>
        <v>1</v>
      </c>
      <c r="E18">
        <f t="shared" si="2"/>
        <v>1</v>
      </c>
      <c r="F18">
        <v>1.6074999999999999</v>
      </c>
      <c r="G18">
        <f t="shared" si="3"/>
        <v>77.726068129704203</v>
      </c>
      <c r="H18">
        <f t="shared" si="4"/>
        <v>77.726068129704203</v>
      </c>
      <c r="I18">
        <f t="shared" si="5"/>
        <v>1</v>
      </c>
      <c r="J18">
        <f t="shared" si="6"/>
        <v>147.05843939835364</v>
      </c>
    </row>
    <row r="19" spans="1:10" x14ac:dyDescent="0.25">
      <c r="A19">
        <v>1</v>
      </c>
      <c r="B19">
        <v>16</v>
      </c>
      <c r="C19">
        <f t="shared" si="0"/>
        <v>16</v>
      </c>
      <c r="D19">
        <f t="shared" si="1"/>
        <v>1</v>
      </c>
      <c r="E19">
        <f t="shared" si="2"/>
        <v>1</v>
      </c>
      <c r="F19">
        <v>1.6074999999999999</v>
      </c>
      <c r="G19">
        <f t="shared" si="3"/>
        <v>86.222948919404146</v>
      </c>
      <c r="H19">
        <f t="shared" si="4"/>
        <v>86.222948919404146</v>
      </c>
      <c r="I19">
        <f t="shared" si="5"/>
        <v>1</v>
      </c>
      <c r="J19">
        <f t="shared" si="6"/>
        <v>156.80086375330865</v>
      </c>
    </row>
    <row r="20" spans="1:10" x14ac:dyDescent="0.25">
      <c r="A20">
        <v>1</v>
      </c>
      <c r="B20">
        <v>17</v>
      </c>
      <c r="C20">
        <f t="shared" si="0"/>
        <v>17</v>
      </c>
      <c r="D20">
        <f t="shared" si="1"/>
        <v>1</v>
      </c>
      <c r="E20">
        <f t="shared" si="2"/>
        <v>1</v>
      </c>
      <c r="F20">
        <v>1.6074999999999999</v>
      </c>
      <c r="G20">
        <f t="shared" si="3"/>
        <v>95.048800632062125</v>
      </c>
      <c r="H20">
        <f t="shared" si="4"/>
        <v>95.048800632062125</v>
      </c>
      <c r="I20">
        <f t="shared" si="5"/>
        <v>1</v>
      </c>
      <c r="J20">
        <f t="shared" si="6"/>
        <v>166.54542753632848</v>
      </c>
    </row>
    <row r="21" spans="1:10" x14ac:dyDescent="0.25">
      <c r="A21">
        <v>1</v>
      </c>
      <c r="B21">
        <v>18</v>
      </c>
      <c r="C21">
        <f t="shared" si="0"/>
        <v>18</v>
      </c>
      <c r="D21">
        <f t="shared" si="1"/>
        <v>1</v>
      </c>
      <c r="E21">
        <f t="shared" si="2"/>
        <v>1</v>
      </c>
      <c r="F21">
        <v>1.6074999999999999</v>
      </c>
      <c r="G21">
        <f t="shared" si="3"/>
        <v>104.19588121158208</v>
      </c>
      <c r="H21">
        <f t="shared" si="4"/>
        <v>104.19588121158208</v>
      </c>
      <c r="I21">
        <f t="shared" si="5"/>
        <v>1</v>
      </c>
      <c r="J21">
        <f t="shared" si="6"/>
        <v>176.29181864452724</v>
      </c>
    </row>
    <row r="22" spans="1:10" x14ac:dyDescent="0.25">
      <c r="A22">
        <v>1</v>
      </c>
      <c r="B22">
        <v>19</v>
      </c>
      <c r="C22">
        <f t="shared" si="0"/>
        <v>19</v>
      </c>
      <c r="D22">
        <f t="shared" si="1"/>
        <v>1</v>
      </c>
      <c r="E22">
        <f t="shared" si="2"/>
        <v>1</v>
      </c>
      <c r="F22">
        <v>1.6074999999999999</v>
      </c>
      <c r="G22">
        <f t="shared" si="3"/>
        <v>113.65705887426853</v>
      </c>
      <c r="H22">
        <f t="shared" si="4"/>
        <v>113.65705887426853</v>
      </c>
      <c r="I22">
        <f t="shared" si="5"/>
        <v>1</v>
      </c>
      <c r="J22">
        <f t="shared" si="6"/>
        <v>186.03978459762095</v>
      </c>
    </row>
    <row r="23" spans="1:10" x14ac:dyDescent="0.25">
      <c r="A23">
        <v>1</v>
      </c>
      <c r="B23">
        <v>20</v>
      </c>
      <c r="C23">
        <f t="shared" si="0"/>
        <v>20</v>
      </c>
      <c r="D23">
        <f t="shared" si="1"/>
        <v>1</v>
      </c>
      <c r="E23">
        <f t="shared" si="2"/>
        <v>1</v>
      </c>
      <c r="F23">
        <v>1.6074999999999999</v>
      </c>
      <c r="G23">
        <f t="shared" si="3"/>
        <v>123.42573383701162</v>
      </c>
      <c r="H23">
        <f t="shared" si="4"/>
        <v>123.42573383701162</v>
      </c>
      <c r="I23">
        <f t="shared" si="5"/>
        <v>1</v>
      </c>
      <c r="J23">
        <f t="shared" si="6"/>
        <v>195.78911872816244</v>
      </c>
    </row>
    <row r="24" spans="1:10" x14ac:dyDescent="0.25">
      <c r="A24">
        <v>1</v>
      </c>
      <c r="B24">
        <v>21</v>
      </c>
      <c r="C24">
        <f t="shared" si="0"/>
        <v>21</v>
      </c>
      <c r="D24">
        <f t="shared" si="1"/>
        <v>1</v>
      </c>
      <c r="E24">
        <f t="shared" si="2"/>
        <v>1</v>
      </c>
      <c r="F24">
        <v>1.6074999999999999</v>
      </c>
      <c r="G24">
        <f t="shared" si="3"/>
        <v>133.49577356371628</v>
      </c>
      <c r="H24">
        <f t="shared" si="4"/>
        <v>133.49577356371628</v>
      </c>
      <c r="I24">
        <f t="shared" si="5"/>
        <v>1</v>
      </c>
      <c r="J24">
        <f t="shared" si="6"/>
        <v>205.53965007693489</v>
      </c>
    </row>
    <row r="25" spans="1:10" x14ac:dyDescent="0.25">
      <c r="A25">
        <v>1</v>
      </c>
      <c r="B25">
        <v>22</v>
      </c>
      <c r="C25">
        <f t="shared" si="0"/>
        <v>22</v>
      </c>
      <c r="D25">
        <f t="shared" si="1"/>
        <v>1</v>
      </c>
      <c r="E25">
        <f t="shared" si="2"/>
        <v>1</v>
      </c>
      <c r="F25">
        <v>1.6074999999999999</v>
      </c>
      <c r="G25">
        <f t="shared" si="3"/>
        <v>143.86145865202482</v>
      </c>
      <c r="H25">
        <f t="shared" si="4"/>
        <v>143.86145865202482</v>
      </c>
      <c r="I25">
        <f t="shared" si="5"/>
        <v>1</v>
      </c>
      <c r="J25">
        <f t="shared" si="6"/>
        <v>215.29123587596806</v>
      </c>
    </row>
    <row r="26" spans="1:10" x14ac:dyDescent="0.25">
      <c r="A26">
        <v>1</v>
      </c>
      <c r="B26">
        <v>23</v>
      </c>
      <c r="C26">
        <f t="shared" si="0"/>
        <v>23</v>
      </c>
      <c r="D26">
        <f t="shared" si="1"/>
        <v>1</v>
      </c>
      <c r="E26">
        <f t="shared" si="2"/>
        <v>1</v>
      </c>
      <c r="F26">
        <v>1.6074999999999999</v>
      </c>
      <c r="G26">
        <f t="shared" si="3"/>
        <v>154.51743720012934</v>
      </c>
      <c r="H26">
        <f t="shared" si="4"/>
        <v>154.51743720012934</v>
      </c>
      <c r="I26">
        <f t="shared" si="5"/>
        <v>1</v>
      </c>
      <c r="J26">
        <f t="shared" si="6"/>
        <v>225.04375587267484</v>
      </c>
    </row>
    <row r="27" spans="1:10" x14ac:dyDescent="0.25">
      <c r="A27">
        <v>1</v>
      </c>
      <c r="B27">
        <v>24</v>
      </c>
      <c r="C27">
        <f t="shared" si="0"/>
        <v>24</v>
      </c>
      <c r="D27">
        <f t="shared" si="1"/>
        <v>1</v>
      </c>
      <c r="E27">
        <f t="shared" si="2"/>
        <v>1</v>
      </c>
      <c r="F27">
        <v>1.6074999999999999</v>
      </c>
      <c r="G27">
        <f t="shared" si="3"/>
        <v>165.45868600831491</v>
      </c>
      <c r="H27">
        <f t="shared" si="4"/>
        <v>165.45868600831491</v>
      </c>
      <c r="I27">
        <f t="shared" si="5"/>
        <v>1</v>
      </c>
      <c r="J27">
        <f t="shared" si="6"/>
        <v>234.79710798612808</v>
      </c>
    </row>
    <row r="28" spans="1:10" x14ac:dyDescent="0.25">
      <c r="A28">
        <v>1</v>
      </c>
      <c r="B28">
        <v>25</v>
      </c>
      <c r="C28">
        <f t="shared" si="0"/>
        <v>25</v>
      </c>
      <c r="D28">
        <f t="shared" si="1"/>
        <v>1</v>
      </c>
      <c r="E28">
        <f t="shared" si="2"/>
        <v>1</v>
      </c>
      <c r="F28">
        <v>1.6074999999999999</v>
      </c>
      <c r="G28">
        <f t="shared" si="3"/>
        <v>176.6804773453589</v>
      </c>
      <c r="H28">
        <f t="shared" si="4"/>
        <v>176.6804773453589</v>
      </c>
      <c r="I28">
        <f t="shared" si="5"/>
        <v>1</v>
      </c>
      <c r="J28">
        <f t="shared" si="6"/>
        <v>244.55120494195401</v>
      </c>
    </row>
    <row r="29" spans="1:10" x14ac:dyDescent="0.25">
      <c r="A29">
        <v>1</v>
      </c>
      <c r="B29">
        <v>26</v>
      </c>
      <c r="C29">
        <f t="shared" si="0"/>
        <v>26</v>
      </c>
      <c r="D29">
        <f t="shared" si="1"/>
        <v>1</v>
      </c>
      <c r="E29">
        <f t="shared" si="2"/>
        <v>1</v>
      </c>
      <c r="F29">
        <v>1.6074999999999999</v>
      </c>
      <c r="G29">
        <f t="shared" si="3"/>
        <v>188.17835028791529</v>
      </c>
      <c r="H29">
        <f t="shared" si="4"/>
        <v>188.17835028791529</v>
      </c>
      <c r="I29">
        <f t="shared" si="5"/>
        <v>1</v>
      </c>
      <c r="J29">
        <f t="shared" si="6"/>
        <v>254.30597163614482</v>
      </c>
    </row>
    <row r="30" spans="1:10" x14ac:dyDescent="0.25">
      <c r="A30">
        <v>1</v>
      </c>
      <c r="B30">
        <v>27</v>
      </c>
      <c r="C30">
        <f t="shared" si="0"/>
        <v>27</v>
      </c>
      <c r="D30">
        <f t="shared" si="1"/>
        <v>1</v>
      </c>
      <c r="E30">
        <f t="shared" si="2"/>
        <v>1</v>
      </c>
      <c r="F30">
        <v>1.6074999999999999</v>
      </c>
      <c r="G30">
        <f t="shared" si="3"/>
        <v>199.94808584964804</v>
      </c>
      <c r="H30">
        <f t="shared" si="4"/>
        <v>199.94808584964804</v>
      </c>
      <c r="I30">
        <f t="shared" si="5"/>
        <v>1</v>
      </c>
      <c r="J30">
        <f t="shared" si="6"/>
        <v>264.06134304869954</v>
      </c>
    </row>
    <row r="31" spans="1:10" x14ac:dyDescent="0.25">
      <c r="A31">
        <v>1</v>
      </c>
      <c r="B31">
        <v>28</v>
      </c>
      <c r="C31">
        <f t="shared" si="0"/>
        <v>28</v>
      </c>
      <c r="D31">
        <f t="shared" si="1"/>
        <v>1</v>
      </c>
      <c r="E31">
        <f t="shared" si="2"/>
        <v>1</v>
      </c>
      <c r="F31">
        <v>1.6074999999999999</v>
      </c>
      <c r="G31">
        <f t="shared" si="3"/>
        <v>211.9856852754443</v>
      </c>
      <c r="H31">
        <f t="shared" si="4"/>
        <v>211.9856852754443</v>
      </c>
      <c r="I31">
        <f t="shared" si="5"/>
        <v>1</v>
      </c>
      <c r="J31">
        <f t="shared" si="6"/>
        <v>273.81726257684198</v>
      </c>
    </row>
    <row r="32" spans="1:10" x14ac:dyDescent="0.25">
      <c r="A32">
        <v>1</v>
      </c>
      <c r="B32">
        <v>29</v>
      </c>
      <c r="C32">
        <f t="shared" si="0"/>
        <v>29</v>
      </c>
      <c r="D32">
        <f t="shared" si="1"/>
        <v>1</v>
      </c>
      <c r="E32">
        <f t="shared" si="2"/>
        <v>1</v>
      </c>
      <c r="F32">
        <v>1.6074999999999999</v>
      </c>
      <c r="G32">
        <f t="shared" si="3"/>
        <v>224.28735099789478</v>
      </c>
      <c r="H32">
        <f t="shared" si="4"/>
        <v>224.28735099789478</v>
      </c>
      <c r="I32">
        <f t="shared" si="5"/>
        <v>1</v>
      </c>
      <c r="J32">
        <f t="shared" si="6"/>
        <v>283.57368069184963</v>
      </c>
    </row>
    <row r="33" spans="1:10" x14ac:dyDescent="0.25">
      <c r="A33">
        <v>1</v>
      </c>
      <c r="B33">
        <v>30</v>
      </c>
      <c r="C33">
        <f t="shared" si="0"/>
        <v>30</v>
      </c>
      <c r="D33">
        <f t="shared" si="1"/>
        <v>1</v>
      </c>
      <c r="E33">
        <f t="shared" si="2"/>
        <v>1</v>
      </c>
      <c r="F33">
        <v>1.6074999999999999</v>
      </c>
      <c r="G33">
        <f t="shared" si="3"/>
        <v>236.84946984790605</v>
      </c>
      <c r="H33">
        <f t="shared" si="4"/>
        <v>236.84946984790605</v>
      </c>
      <c r="I33">
        <f t="shared" si="5"/>
        <v>1</v>
      </c>
      <c r="J33">
        <f t="shared" si="6"/>
        <v>293.33055384795068</v>
      </c>
    </row>
    <row r="34" spans="1:10" x14ac:dyDescent="0.25">
      <c r="A34">
        <v>1</v>
      </c>
      <c r="B34">
        <v>31</v>
      </c>
      <c r="C34">
        <f t="shared" si="0"/>
        <v>31</v>
      </c>
      <c r="D34">
        <f t="shared" si="1"/>
        <v>1</v>
      </c>
      <c r="E34">
        <f t="shared" si="2"/>
        <v>1</v>
      </c>
      <c r="F34">
        <v>1.6074999999999999</v>
      </c>
      <c r="G34">
        <f t="shared" si="3"/>
        <v>249.66859818554195</v>
      </c>
      <c r="H34">
        <f t="shared" si="4"/>
        <v>249.66859818554195</v>
      </c>
      <c r="I34">
        <f t="shared" si="5"/>
        <v>1</v>
      </c>
      <c r="J34">
        <f t="shared" si="6"/>
        <v>303.08784358936441</v>
      </c>
    </row>
    <row r="35" spans="1:10" x14ac:dyDescent="0.25">
      <c r="A35">
        <v>1</v>
      </c>
      <c r="B35">
        <v>32</v>
      </c>
      <c r="C35">
        <f t="shared" si="0"/>
        <v>32</v>
      </c>
      <c r="D35">
        <f t="shared" si="1"/>
        <v>1</v>
      </c>
      <c r="E35">
        <f t="shared" si="2"/>
        <v>1</v>
      </c>
      <c r="F35">
        <v>1.6074999999999999</v>
      </c>
      <c r="G35">
        <f t="shared" si="3"/>
        <v>262.7414486759485</v>
      </c>
      <c r="H35">
        <f t="shared" si="4"/>
        <v>262.7414486759485</v>
      </c>
      <c r="I35">
        <f t="shared" si="5"/>
        <v>1</v>
      </c>
      <c r="J35">
        <f t="shared" si="6"/>
        <v>312.8455158144223</v>
      </c>
    </row>
    <row r="36" spans="1:10" x14ac:dyDescent="0.25">
      <c r="A36">
        <v>1</v>
      </c>
      <c r="B36">
        <v>33</v>
      </c>
      <c r="C36">
        <f t="shared" si="0"/>
        <v>33</v>
      </c>
      <c r="D36">
        <f t="shared" si="1"/>
        <v>1</v>
      </c>
      <c r="E36">
        <f t="shared" si="2"/>
        <v>1</v>
      </c>
      <c r="F36">
        <v>1.6074999999999999</v>
      </c>
      <c r="G36">
        <f t="shared" si="3"/>
        <v>276.064878482099</v>
      </c>
      <c r="H36">
        <f t="shared" si="4"/>
        <v>276.064878482099</v>
      </c>
      <c r="I36">
        <f t="shared" si="5"/>
        <v>1</v>
      </c>
      <c r="J36">
        <f t="shared" si="6"/>
        <v>322.6035401652058</v>
      </c>
    </row>
    <row r="37" spans="1:10" x14ac:dyDescent="0.25">
      <c r="A37">
        <v>1</v>
      </c>
      <c r="B37">
        <v>34</v>
      </c>
      <c r="C37">
        <f t="shared" si="0"/>
        <v>34</v>
      </c>
      <c r="D37">
        <f t="shared" si="1"/>
        <v>1</v>
      </c>
      <c r="E37">
        <f t="shared" si="2"/>
        <v>1</v>
      </c>
      <c r="F37">
        <v>1.6074999999999999</v>
      </c>
      <c r="G37">
        <f t="shared" si="3"/>
        <v>289.6358786837929</v>
      </c>
      <c r="H37">
        <f t="shared" si="4"/>
        <v>289.6358786837929</v>
      </c>
      <c r="I37">
        <f t="shared" si="5"/>
        <v>1</v>
      </c>
      <c r="J37">
        <f t="shared" si="6"/>
        <v>332.3618895182226</v>
      </c>
    </row>
    <row r="38" spans="1:10" x14ac:dyDescent="0.25">
      <c r="A38">
        <v>1</v>
      </c>
      <c r="B38">
        <v>35</v>
      </c>
      <c r="C38">
        <f t="shared" si="0"/>
        <v>35</v>
      </c>
      <c r="D38">
        <f t="shared" si="1"/>
        <v>1</v>
      </c>
      <c r="E38">
        <f t="shared" si="2"/>
        <v>1</v>
      </c>
      <c r="F38">
        <v>1.6074999999999999</v>
      </c>
      <c r="G38">
        <f t="shared" si="3"/>
        <v>303.45156476288486</v>
      </c>
      <c r="H38">
        <f t="shared" si="4"/>
        <v>303.45156476288486</v>
      </c>
      <c r="I38">
        <f t="shared" si="5"/>
        <v>1</v>
      </c>
      <c r="J38">
        <f t="shared" si="6"/>
        <v>342.12053955698025</v>
      </c>
    </row>
    <row r="39" spans="1:10" x14ac:dyDescent="0.25">
      <c r="A39">
        <v>1</v>
      </c>
      <c r="B39">
        <v>36</v>
      </c>
      <c r="C39">
        <f t="shared" si="0"/>
        <v>36</v>
      </c>
      <c r="D39">
        <f t="shared" si="1"/>
        <v>1</v>
      </c>
      <c r="E39">
        <f t="shared" si="2"/>
        <v>1</v>
      </c>
      <c r="F39">
        <v>1.6074999999999999</v>
      </c>
      <c r="G39">
        <f t="shared" si="3"/>
        <v>317.50916801961904</v>
      </c>
      <c r="H39">
        <f t="shared" si="4"/>
        <v>317.50916801961904</v>
      </c>
      <c r="I39">
        <f t="shared" si="5"/>
        <v>1</v>
      </c>
      <c r="J39">
        <f t="shared" si="6"/>
        <v>351.87946841137739</v>
      </c>
    </row>
    <row r="40" spans="1:10" x14ac:dyDescent="0.25">
      <c r="A40">
        <v>1</v>
      </c>
      <c r="B40">
        <v>37</v>
      </c>
      <c r="C40">
        <f t="shared" si="0"/>
        <v>37</v>
      </c>
      <c r="D40">
        <f t="shared" si="1"/>
        <v>1</v>
      </c>
      <c r="E40">
        <f t="shared" si="2"/>
        <v>1</v>
      </c>
      <c r="F40">
        <v>1.6074999999999999</v>
      </c>
      <c r="G40">
        <f t="shared" si="3"/>
        <v>331.8060278053789</v>
      </c>
      <c r="H40">
        <f t="shared" si="4"/>
        <v>331.8060278053789</v>
      </c>
      <c r="I40">
        <f t="shared" si="5"/>
        <v>1</v>
      </c>
      <c r="J40">
        <f t="shared" si="6"/>
        <v>361.63865635193599</v>
      </c>
    </row>
    <row r="41" spans="1:10" x14ac:dyDescent="0.25">
      <c r="A41">
        <v>1</v>
      </c>
      <c r="B41">
        <v>38</v>
      </c>
      <c r="C41">
        <f t="shared" si="0"/>
        <v>38</v>
      </c>
      <c r="D41">
        <f t="shared" si="1"/>
        <v>1</v>
      </c>
      <c r="E41">
        <f t="shared" si="2"/>
        <v>1</v>
      </c>
      <c r="F41">
        <v>1.6074999999999999</v>
      </c>
      <c r="G41">
        <f t="shared" si="3"/>
        <v>346.33958447404092</v>
      </c>
      <c r="H41">
        <f t="shared" si="4"/>
        <v>346.33958447404092</v>
      </c>
      <c r="I41">
        <f t="shared" si="5"/>
        <v>1</v>
      </c>
      <c r="J41">
        <f t="shared" si="6"/>
        <v>371.39808552931083</v>
      </c>
    </row>
    <row r="42" spans="1:10" x14ac:dyDescent="0.25">
      <c r="A42">
        <v>1</v>
      </c>
      <c r="B42">
        <v>39</v>
      </c>
      <c r="C42">
        <f t="shared" si="0"/>
        <v>39</v>
      </c>
      <c r="D42">
        <f t="shared" si="1"/>
        <v>1</v>
      </c>
      <c r="E42">
        <f t="shared" si="2"/>
        <v>1</v>
      </c>
      <c r="F42">
        <v>1.6074999999999999</v>
      </c>
      <c r="G42">
        <f t="shared" si="3"/>
        <v>361.10737296812476</v>
      </c>
      <c r="H42">
        <f t="shared" si="4"/>
        <v>361.10737296812476</v>
      </c>
      <c r="I42">
        <f t="shared" si="5"/>
        <v>1</v>
      </c>
      <c r="J42">
        <f t="shared" si="6"/>
        <v>381.15773975138057</v>
      </c>
    </row>
    <row r="43" spans="1:10" x14ac:dyDescent="0.25">
      <c r="A43">
        <v>1</v>
      </c>
      <c r="B43">
        <v>40</v>
      </c>
      <c r="C43">
        <f t="shared" si="0"/>
        <v>40</v>
      </c>
      <c r="D43">
        <f t="shared" si="1"/>
        <v>1</v>
      </c>
      <c r="E43">
        <f t="shared" si="2"/>
        <v>1</v>
      </c>
      <c r="F43">
        <v>1.6074999999999999</v>
      </c>
      <c r="G43">
        <f t="shared" si="3"/>
        <v>376.10701696761885</v>
      </c>
      <c r="H43">
        <f t="shared" si="4"/>
        <v>376.10701696761885</v>
      </c>
      <c r="I43">
        <f t="shared" si="5"/>
        <v>1</v>
      </c>
      <c r="J43">
        <f t="shared" si="6"/>
        <v>390.91760429169068</v>
      </c>
    </row>
    <row r="44" spans="1:10" x14ac:dyDescent="0.25">
      <c r="A44">
        <v>1</v>
      </c>
      <c r="B44">
        <v>41</v>
      </c>
      <c r="C44">
        <f t="shared" si="0"/>
        <v>41</v>
      </c>
      <c r="D44">
        <f t="shared" si="1"/>
        <v>1</v>
      </c>
      <c r="E44">
        <f t="shared" si="2"/>
        <v>1</v>
      </c>
      <c r="F44">
        <v>1.6074999999999999</v>
      </c>
      <c r="G44">
        <f t="shared" si="3"/>
        <v>391.3362235391736</v>
      </c>
      <c r="H44">
        <f t="shared" si="4"/>
        <v>391.3362235391736</v>
      </c>
      <c r="I44">
        <f t="shared" si="5"/>
        <v>1</v>
      </c>
      <c r="J44">
        <f t="shared" si="6"/>
        <v>400.67766572418054</v>
      </c>
    </row>
    <row r="45" spans="1:10" x14ac:dyDescent="0.25">
      <c r="A45">
        <v>1</v>
      </c>
      <c r="B45">
        <v>42</v>
      </c>
      <c r="C45">
        <f t="shared" si="0"/>
        <v>42</v>
      </c>
      <c r="D45">
        <f t="shared" si="1"/>
        <v>1</v>
      </c>
      <c r="E45">
        <f t="shared" si="2"/>
        <v>1</v>
      </c>
      <c r="F45">
        <v>1.6074999999999999</v>
      </c>
      <c r="G45">
        <f t="shared" si="3"/>
        <v>406.79277823161692</v>
      </c>
      <c r="H45">
        <f t="shared" si="4"/>
        <v>406.79277823161692</v>
      </c>
      <c r="I45">
        <f t="shared" si="5"/>
        <v>1</v>
      </c>
      <c r="J45">
        <f t="shared" si="6"/>
        <v>410.43791178004875</v>
      </c>
    </row>
    <row r="46" spans="1:10" x14ac:dyDescent="0.25">
      <c r="A46">
        <v>1</v>
      </c>
      <c r="B46">
        <v>43</v>
      </c>
      <c r="C46">
        <f t="shared" si="0"/>
        <v>43</v>
      </c>
      <c r="D46">
        <f t="shared" si="1"/>
        <v>1</v>
      </c>
      <c r="E46">
        <f t="shared" si="2"/>
        <v>1</v>
      </c>
      <c r="F46">
        <v>1.6074999999999999</v>
      </c>
      <c r="G46">
        <f t="shared" si="3"/>
        <v>422.47454057073367</v>
      </c>
      <c r="H46">
        <f t="shared" si="4"/>
        <v>422.47454057073367</v>
      </c>
      <c r="I46">
        <f t="shared" si="5"/>
        <v>1</v>
      </c>
      <c r="J46">
        <f t="shared" si="6"/>
        <v>420.19833122334086</v>
      </c>
    </row>
    <row r="47" spans="1:10" x14ac:dyDescent="0.25">
      <c r="A47">
        <v>1</v>
      </c>
      <c r="B47">
        <v>44</v>
      </c>
      <c r="C47">
        <f t="shared" si="0"/>
        <v>44</v>
      </c>
      <c r="D47">
        <f t="shared" si="1"/>
        <v>1</v>
      </c>
      <c r="E47">
        <f t="shared" si="2"/>
        <v>1</v>
      </c>
      <c r="F47">
        <v>1.6074999999999999</v>
      </c>
      <c r="G47">
        <f t="shared" si="3"/>
        <v>438.37943991221647</v>
      </c>
      <c r="H47">
        <f t="shared" si="4"/>
        <v>438.37943991221647</v>
      </c>
      <c r="I47">
        <f t="shared" si="5"/>
        <v>1</v>
      </c>
      <c r="J47">
        <f t="shared" si="6"/>
        <v>429.95891374244559</v>
      </c>
    </row>
    <row r="48" spans="1:10" x14ac:dyDescent="0.25">
      <c r="A48">
        <v>1</v>
      </c>
      <c r="B48">
        <v>45</v>
      </c>
      <c r="C48">
        <f t="shared" si="0"/>
        <v>45</v>
      </c>
      <c r="D48">
        <f t="shared" si="1"/>
        <v>1</v>
      </c>
      <c r="E48">
        <f t="shared" si="2"/>
        <v>1</v>
      </c>
      <c r="F48">
        <v>1.6074999999999999</v>
      </c>
      <c r="G48">
        <f t="shared" si="3"/>
        <v>454.5054716167474</v>
      </c>
      <c r="H48">
        <f t="shared" si="4"/>
        <v>454.5054716167474</v>
      </c>
      <c r="I48">
        <f t="shared" si="5"/>
        <v>1</v>
      </c>
      <c r="J48">
        <f t="shared" si="6"/>
        <v>439.71964985514825</v>
      </c>
    </row>
    <row r="49" spans="1:10" x14ac:dyDescent="0.25">
      <c r="A49">
        <v>1</v>
      </c>
      <c r="B49">
        <v>46</v>
      </c>
      <c r="C49">
        <f t="shared" si="0"/>
        <v>46</v>
      </c>
      <c r="D49">
        <f t="shared" si="1"/>
        <v>1</v>
      </c>
      <c r="E49">
        <f t="shared" si="2"/>
        <v>1</v>
      </c>
      <c r="F49">
        <v>1.6074999999999999</v>
      </c>
      <c r="G49">
        <f t="shared" si="3"/>
        <v>470.85069351554534</v>
      </c>
      <c r="H49">
        <f t="shared" si="4"/>
        <v>470.85069351554534</v>
      </c>
      <c r="I49">
        <f t="shared" si="5"/>
        <v>1</v>
      </c>
      <c r="J49">
        <f t="shared" si="6"/>
        <v>449.48053082529714</v>
      </c>
    </row>
    <row r="50" spans="1:10" x14ac:dyDescent="0.25">
      <c r="A50">
        <v>1</v>
      </c>
      <c r="B50">
        <v>47</v>
      </c>
      <c r="C50">
        <f t="shared" si="0"/>
        <v>47</v>
      </c>
      <c r="D50">
        <f t="shared" si="1"/>
        <v>1</v>
      </c>
      <c r="E50">
        <f t="shared" si="2"/>
        <v>1</v>
      </c>
      <c r="F50">
        <v>1.6074999999999999</v>
      </c>
      <c r="G50">
        <f t="shared" si="3"/>
        <v>487.41322263843284</v>
      </c>
      <c r="H50">
        <f t="shared" si="4"/>
        <v>487.41322263843284</v>
      </c>
      <c r="I50">
        <f t="shared" si="5"/>
        <v>1</v>
      </c>
      <c r="J50">
        <f t="shared" si="6"/>
        <v>459.2415485894399</v>
      </c>
    </row>
    <row r="51" spans="1:10" x14ac:dyDescent="0.25">
      <c r="A51">
        <v>1</v>
      </c>
      <c r="B51">
        <v>48</v>
      </c>
      <c r="C51">
        <f t="shared" si="0"/>
        <v>48</v>
      </c>
      <c r="D51">
        <f t="shared" si="1"/>
        <v>1</v>
      </c>
      <c r="E51">
        <f t="shared" si="2"/>
        <v>1</v>
      </c>
      <c r="F51">
        <v>1.6074999999999999</v>
      </c>
      <c r="G51">
        <f t="shared" si="3"/>
        <v>504.1912321797214</v>
      </c>
      <c r="H51">
        <f t="shared" si="4"/>
        <v>504.1912321797214</v>
      </c>
      <c r="I51">
        <f t="shared" si="5"/>
        <v>1</v>
      </c>
      <c r="J51">
        <f t="shared" si="6"/>
        <v>469.00269569205534</v>
      </c>
    </row>
    <row r="52" spans="1:10" x14ac:dyDescent="0.25">
      <c r="A52">
        <v>1</v>
      </c>
      <c r="B52">
        <v>49</v>
      </c>
      <c r="C52">
        <f t="shared" si="0"/>
        <v>49</v>
      </c>
      <c r="D52">
        <f t="shared" si="1"/>
        <v>1</v>
      </c>
      <c r="E52">
        <f t="shared" si="2"/>
        <v>1</v>
      </c>
      <c r="F52">
        <v>1.6074999999999999</v>
      </c>
      <c r="G52">
        <f t="shared" si="3"/>
        <v>521.18294867999555</v>
      </c>
      <c r="H52">
        <f t="shared" si="4"/>
        <v>521.18294867999555</v>
      </c>
      <c r="I52">
        <f t="shared" si="5"/>
        <v>1</v>
      </c>
      <c r="J52">
        <f t="shared" si="6"/>
        <v>478.76396522821983</v>
      </c>
    </row>
    <row r="53" spans="1:10" x14ac:dyDescent="0.25">
      <c r="A53">
        <v>1</v>
      </c>
      <c r="B53">
        <v>50</v>
      </c>
      <c r="C53">
        <f t="shared" si="0"/>
        <v>50</v>
      </c>
      <c r="D53">
        <f t="shared" si="1"/>
        <v>1</v>
      </c>
      <c r="E53">
        <f t="shared" si="2"/>
        <v>1</v>
      </c>
      <c r="F53">
        <v>1.6074999999999999</v>
      </c>
      <c r="G53">
        <f t="shared" si="3"/>
        <v>538.38664940431852</v>
      </c>
      <c r="H53">
        <f t="shared" si="4"/>
        <v>538.38664940431852</v>
      </c>
      <c r="I53">
        <f t="shared" si="5"/>
        <v>1</v>
      </c>
      <c r="J53">
        <f t="shared" si="6"/>
        <v>488.52535079271985</v>
      </c>
    </row>
    <row r="54" spans="1:10" x14ac:dyDescent="0.25">
      <c r="A54">
        <v>2</v>
      </c>
      <c r="B54">
        <v>1</v>
      </c>
      <c r="C54">
        <f>1*A54*B54</f>
        <v>2</v>
      </c>
      <c r="D54">
        <f>1*A54</f>
        <v>2</v>
      </c>
      <c r="E54">
        <f>1*A54</f>
        <v>2</v>
      </c>
      <c r="F54">
        <v>1.6074999999999999</v>
      </c>
      <c r="G54">
        <f>C54^F54*D54^F54</f>
        <v>9.2856313150697591</v>
      </c>
      <c r="H54">
        <f>C54^F54*E54^F54</f>
        <v>9.2856313150697591</v>
      </c>
      <c r="I54">
        <f>D54^F54*E54^F54</f>
        <v>9.2856313150697591</v>
      </c>
      <c r="J54">
        <f>4*PI()*((G54+H54+I54)/3)^(1/F54)</f>
        <v>50.26548245743669</v>
      </c>
    </row>
    <row r="55" spans="1:10" x14ac:dyDescent="0.25">
      <c r="A55">
        <v>3</v>
      </c>
      <c r="B55">
        <v>1</v>
      </c>
      <c r="C55">
        <f>1*A55*B55</f>
        <v>3</v>
      </c>
      <c r="D55">
        <f>1*A55</f>
        <v>3</v>
      </c>
      <c r="E55">
        <f>1*A55</f>
        <v>3</v>
      </c>
      <c r="F55">
        <v>1.6074999999999999</v>
      </c>
      <c r="G55">
        <f>C55^F55*D55^F55</f>
        <v>34.19360054758257</v>
      </c>
      <c r="H55">
        <f>C55^F55*E55^F55</f>
        <v>34.19360054758257</v>
      </c>
      <c r="I55">
        <f>D55^F55*E55^F55</f>
        <v>34.19360054758257</v>
      </c>
      <c r="J55">
        <f>4*PI()*((G55+H55+I55)/3)^(1/F55)</f>
        <v>113.09733552923252</v>
      </c>
    </row>
    <row r="56" spans="1:10" x14ac:dyDescent="0.25">
      <c r="A56">
        <v>4</v>
      </c>
      <c r="B56">
        <v>1</v>
      </c>
      <c r="C56">
        <f t="shared" ref="C56:C102" si="7">1*A56*B56</f>
        <v>4</v>
      </c>
      <c r="D56">
        <f t="shared" ref="D56:D102" si="8">1*A56</f>
        <v>4</v>
      </c>
      <c r="E56">
        <f t="shared" ref="E56:E102" si="9">1*A56</f>
        <v>4</v>
      </c>
      <c r="F56">
        <v>1.6074999999999999</v>
      </c>
      <c r="G56">
        <f t="shared" ref="G56:G102" si="10">C56^F56*D56^F56</f>
        <v>86.222948919404146</v>
      </c>
      <c r="H56">
        <f t="shared" ref="H56:H102" si="11">C56^F56*E56^F56</f>
        <v>86.222948919404146</v>
      </c>
      <c r="I56">
        <f t="shared" ref="I56:I102" si="12">D56^F56*E56^F56</f>
        <v>86.222948919404146</v>
      </c>
      <c r="J56">
        <f t="shared" ref="J56:J102" si="13">4*PI()*((G56+H56+I56)/3)^(1/F56)</f>
        <v>201.06192982974673</v>
      </c>
    </row>
    <row r="57" spans="1:10" x14ac:dyDescent="0.25">
      <c r="A57">
        <v>5</v>
      </c>
      <c r="B57">
        <v>1</v>
      </c>
      <c r="C57">
        <f t="shared" si="7"/>
        <v>5</v>
      </c>
      <c r="D57">
        <f t="shared" si="8"/>
        <v>5</v>
      </c>
      <c r="E57">
        <f t="shared" si="9"/>
        <v>5</v>
      </c>
      <c r="F57">
        <v>1.6074999999999999</v>
      </c>
      <c r="G57">
        <f t="shared" si="10"/>
        <v>176.68047734535892</v>
      </c>
      <c r="H57">
        <f t="shared" si="11"/>
        <v>176.68047734535892</v>
      </c>
      <c r="I57">
        <f t="shared" si="12"/>
        <v>176.68047734535892</v>
      </c>
      <c r="J57">
        <f t="shared" si="13"/>
        <v>314.15926535897916</v>
      </c>
    </row>
    <row r="58" spans="1:10" x14ac:dyDescent="0.25">
      <c r="A58">
        <v>6</v>
      </c>
      <c r="B58">
        <v>1</v>
      </c>
      <c r="C58">
        <f t="shared" si="7"/>
        <v>6</v>
      </c>
      <c r="D58">
        <f t="shared" si="8"/>
        <v>6</v>
      </c>
      <c r="E58">
        <f t="shared" si="9"/>
        <v>6</v>
      </c>
      <c r="F58">
        <v>1.6074999999999999</v>
      </c>
      <c r="G58">
        <f t="shared" si="10"/>
        <v>317.50916801961898</v>
      </c>
      <c r="H58">
        <f t="shared" si="11"/>
        <v>317.50916801961898</v>
      </c>
      <c r="I58">
        <f t="shared" si="12"/>
        <v>317.50916801961898</v>
      </c>
      <c r="J58">
        <f t="shared" si="13"/>
        <v>452.38934211692992</v>
      </c>
    </row>
    <row r="59" spans="1:10" x14ac:dyDescent="0.25">
      <c r="A59">
        <v>7</v>
      </c>
      <c r="B59">
        <v>1</v>
      </c>
      <c r="C59">
        <f t="shared" si="7"/>
        <v>7</v>
      </c>
      <c r="D59">
        <f t="shared" si="8"/>
        <v>7</v>
      </c>
      <c r="E59">
        <f t="shared" si="9"/>
        <v>7</v>
      </c>
      <c r="F59">
        <v>1.6074999999999999</v>
      </c>
      <c r="G59">
        <f t="shared" si="10"/>
        <v>521.18294867999555</v>
      </c>
      <c r="H59">
        <f t="shared" si="11"/>
        <v>521.18294867999555</v>
      </c>
      <c r="I59">
        <f t="shared" si="12"/>
        <v>521.18294867999555</v>
      </c>
      <c r="J59">
        <f t="shared" si="13"/>
        <v>615.75216010359907</v>
      </c>
    </row>
    <row r="60" spans="1:10" x14ac:dyDescent="0.25">
      <c r="A60">
        <v>8</v>
      </c>
      <c r="B60">
        <v>1</v>
      </c>
      <c r="C60">
        <f t="shared" si="7"/>
        <v>8</v>
      </c>
      <c r="D60">
        <f t="shared" si="8"/>
        <v>8</v>
      </c>
      <c r="E60">
        <f t="shared" si="9"/>
        <v>8</v>
      </c>
      <c r="F60">
        <v>1.6074999999999999</v>
      </c>
      <c r="G60">
        <f t="shared" si="10"/>
        <v>800.63451456367898</v>
      </c>
      <c r="H60">
        <f t="shared" si="11"/>
        <v>800.63451456367898</v>
      </c>
      <c r="I60">
        <f t="shared" si="12"/>
        <v>800.63451456367898</v>
      </c>
      <c r="J60">
        <f t="shared" si="13"/>
        <v>804.24771931898681</v>
      </c>
    </row>
    <row r="61" spans="1:10" x14ac:dyDescent="0.25">
      <c r="A61">
        <v>9</v>
      </c>
      <c r="B61">
        <v>1</v>
      </c>
      <c r="C61">
        <f t="shared" si="7"/>
        <v>9</v>
      </c>
      <c r="D61">
        <f t="shared" si="8"/>
        <v>9</v>
      </c>
      <c r="E61">
        <f t="shared" si="9"/>
        <v>9</v>
      </c>
      <c r="F61">
        <v>1.6074999999999999</v>
      </c>
      <c r="G61">
        <f t="shared" si="10"/>
        <v>1169.202318407639</v>
      </c>
      <c r="H61">
        <f t="shared" si="11"/>
        <v>1169.202318407639</v>
      </c>
      <c r="I61">
        <f t="shared" si="12"/>
        <v>1169.202318407639</v>
      </c>
      <c r="J61">
        <f t="shared" si="13"/>
        <v>1017.8760197630925</v>
      </c>
    </row>
    <row r="62" spans="1:10" x14ac:dyDescent="0.25">
      <c r="A62">
        <v>10</v>
      </c>
      <c r="B62">
        <v>1</v>
      </c>
      <c r="C62">
        <f t="shared" si="7"/>
        <v>10</v>
      </c>
      <c r="D62">
        <f t="shared" si="8"/>
        <v>10</v>
      </c>
      <c r="E62">
        <f t="shared" si="9"/>
        <v>10</v>
      </c>
      <c r="F62">
        <v>1.6074999999999999</v>
      </c>
      <c r="G62">
        <f t="shared" si="10"/>
        <v>1640.5897731995401</v>
      </c>
      <c r="H62">
        <f t="shared" si="11"/>
        <v>1640.5897731995401</v>
      </c>
      <c r="I62">
        <f t="shared" si="12"/>
        <v>1640.5897731995401</v>
      </c>
      <c r="J62">
        <f t="shared" si="13"/>
        <v>1256.6370614359178</v>
      </c>
    </row>
    <row r="63" spans="1:10" x14ac:dyDescent="0.25">
      <c r="A63">
        <v>11</v>
      </c>
      <c r="B63">
        <v>1</v>
      </c>
      <c r="C63">
        <f t="shared" si="7"/>
        <v>11</v>
      </c>
      <c r="D63">
        <f t="shared" si="8"/>
        <v>11</v>
      </c>
      <c r="E63">
        <f t="shared" si="9"/>
        <v>11</v>
      </c>
      <c r="F63">
        <v>1.6074999999999999</v>
      </c>
      <c r="G63">
        <f t="shared" si="10"/>
        <v>2228.8327614192744</v>
      </c>
      <c r="H63">
        <f t="shared" si="11"/>
        <v>2228.8327614192744</v>
      </c>
      <c r="I63">
        <f t="shared" si="12"/>
        <v>2228.8327614192744</v>
      </c>
      <c r="J63">
        <f t="shared" si="13"/>
        <v>1520.5308443374602</v>
      </c>
    </row>
    <row r="64" spans="1:10" x14ac:dyDescent="0.25">
      <c r="A64">
        <v>12</v>
      </c>
      <c r="B64">
        <v>1</v>
      </c>
      <c r="C64">
        <f t="shared" si="7"/>
        <v>12</v>
      </c>
      <c r="D64">
        <f t="shared" si="8"/>
        <v>12</v>
      </c>
      <c r="E64">
        <f t="shared" si="9"/>
        <v>12</v>
      </c>
      <c r="F64">
        <v>1.6074999999999999</v>
      </c>
      <c r="G64">
        <f t="shared" si="10"/>
        <v>2948.2730733847211</v>
      </c>
      <c r="H64">
        <f t="shared" si="11"/>
        <v>2948.2730733847211</v>
      </c>
      <c r="I64">
        <f t="shared" si="12"/>
        <v>2948.2730733847211</v>
      </c>
      <c r="J64">
        <f t="shared" si="13"/>
        <v>1809.5573684677195</v>
      </c>
    </row>
    <row r="65" spans="1:10" x14ac:dyDescent="0.25">
      <c r="A65">
        <v>13</v>
      </c>
      <c r="B65">
        <v>1</v>
      </c>
      <c r="C65">
        <f t="shared" si="7"/>
        <v>13</v>
      </c>
      <c r="D65">
        <f t="shared" si="8"/>
        <v>13</v>
      </c>
      <c r="E65">
        <f t="shared" si="9"/>
        <v>13</v>
      </c>
      <c r="F65">
        <v>1.6074999999999999</v>
      </c>
      <c r="G65">
        <f t="shared" si="10"/>
        <v>3813.536238469027</v>
      </c>
      <c r="H65">
        <f t="shared" si="11"/>
        <v>3813.536238469027</v>
      </c>
      <c r="I65">
        <f t="shared" si="12"/>
        <v>3813.536238469027</v>
      </c>
      <c r="J65">
        <f t="shared" si="13"/>
        <v>2123.7166338267002</v>
      </c>
    </row>
    <row r="66" spans="1:10" x14ac:dyDescent="0.25">
      <c r="A66">
        <v>14</v>
      </c>
      <c r="B66">
        <v>1</v>
      </c>
      <c r="C66">
        <f t="shared" si="7"/>
        <v>14</v>
      </c>
      <c r="D66">
        <f t="shared" si="8"/>
        <v>14</v>
      </c>
      <c r="E66">
        <f t="shared" si="9"/>
        <v>14</v>
      </c>
      <c r="F66">
        <v>1.6074999999999999</v>
      </c>
      <c r="G66">
        <f t="shared" si="10"/>
        <v>4839.5127091433642</v>
      </c>
      <c r="H66">
        <f t="shared" si="11"/>
        <v>4839.5127091433642</v>
      </c>
      <c r="I66">
        <f t="shared" si="12"/>
        <v>4839.5127091433642</v>
      </c>
      <c r="J66">
        <f t="shared" si="13"/>
        <v>2463.0086404143967</v>
      </c>
    </row>
    <row r="67" spans="1:10" x14ac:dyDescent="0.25">
      <c r="A67">
        <v>15</v>
      </c>
      <c r="B67">
        <v>1</v>
      </c>
      <c r="C67">
        <f t="shared" si="7"/>
        <v>15</v>
      </c>
      <c r="D67">
        <f t="shared" si="8"/>
        <v>15</v>
      </c>
      <c r="E67">
        <f t="shared" si="9"/>
        <v>15</v>
      </c>
      <c r="F67">
        <v>1.6074999999999999</v>
      </c>
      <c r="G67">
        <f t="shared" si="10"/>
        <v>6041.3416669034195</v>
      </c>
      <c r="H67">
        <f t="shared" si="11"/>
        <v>6041.3416669034195</v>
      </c>
      <c r="I67">
        <f t="shared" si="12"/>
        <v>6041.3416669034195</v>
      </c>
      <c r="J67">
        <f t="shared" si="13"/>
        <v>2827.4333882308138</v>
      </c>
    </row>
    <row r="68" spans="1:10" x14ac:dyDescent="0.25">
      <c r="A68">
        <v>16</v>
      </c>
      <c r="B68">
        <v>1</v>
      </c>
      <c r="C68">
        <f t="shared" si="7"/>
        <v>16</v>
      </c>
      <c r="D68">
        <f t="shared" si="8"/>
        <v>16</v>
      </c>
      <c r="E68">
        <f t="shared" si="9"/>
        <v>16</v>
      </c>
      <c r="F68">
        <v>1.6074999999999999</v>
      </c>
      <c r="G68">
        <f t="shared" si="10"/>
        <v>7434.3969203581764</v>
      </c>
      <c r="H68">
        <f t="shared" si="11"/>
        <v>7434.3969203581764</v>
      </c>
      <c r="I68">
        <f t="shared" si="12"/>
        <v>7434.3969203581764</v>
      </c>
      <c r="J68">
        <f t="shared" si="13"/>
        <v>3216.9908772759472</v>
      </c>
    </row>
    <row r="69" spans="1:10" x14ac:dyDescent="0.25">
      <c r="A69">
        <v>17</v>
      </c>
      <c r="B69">
        <v>1</v>
      </c>
      <c r="C69">
        <f t="shared" si="7"/>
        <v>17</v>
      </c>
      <c r="D69">
        <f t="shared" si="8"/>
        <v>17</v>
      </c>
      <c r="E69">
        <f t="shared" si="9"/>
        <v>17</v>
      </c>
      <c r="F69">
        <v>1.6074999999999999</v>
      </c>
      <c r="G69">
        <f t="shared" si="10"/>
        <v>9034.2745015934943</v>
      </c>
      <c r="H69">
        <f t="shared" si="11"/>
        <v>9034.2745015934943</v>
      </c>
      <c r="I69">
        <f t="shared" si="12"/>
        <v>9034.2745015934943</v>
      </c>
      <c r="J69">
        <f t="shared" si="13"/>
        <v>3631.6811075498017</v>
      </c>
    </row>
    <row r="70" spans="1:10" x14ac:dyDescent="0.25">
      <c r="A70">
        <v>18</v>
      </c>
      <c r="B70">
        <v>1</v>
      </c>
      <c r="C70">
        <f t="shared" si="7"/>
        <v>18</v>
      </c>
      <c r="D70">
        <f t="shared" si="8"/>
        <v>18</v>
      </c>
      <c r="E70">
        <f t="shared" si="9"/>
        <v>18</v>
      </c>
      <c r="F70">
        <v>1.6074999999999999</v>
      </c>
      <c r="G70">
        <f t="shared" si="10"/>
        <v>10856.781661458122</v>
      </c>
      <c r="H70">
        <f t="shared" si="11"/>
        <v>10856.781661458122</v>
      </c>
      <c r="I70">
        <f t="shared" si="12"/>
        <v>10856.781661458122</v>
      </c>
      <c r="J70">
        <f t="shared" si="13"/>
        <v>4071.5040790523667</v>
      </c>
    </row>
    <row r="71" spans="1:10" x14ac:dyDescent="0.25">
      <c r="A71">
        <v>19</v>
      </c>
      <c r="B71">
        <v>1</v>
      </c>
      <c r="C71">
        <f t="shared" si="7"/>
        <v>19</v>
      </c>
      <c r="D71">
        <f t="shared" si="8"/>
        <v>19</v>
      </c>
      <c r="E71">
        <f t="shared" si="9"/>
        <v>19</v>
      </c>
      <c r="F71">
        <v>1.6074999999999999</v>
      </c>
      <c r="G71">
        <f t="shared" si="10"/>
        <v>12917.927031948942</v>
      </c>
      <c r="H71">
        <f t="shared" si="11"/>
        <v>12917.927031948942</v>
      </c>
      <c r="I71">
        <f t="shared" si="12"/>
        <v>12917.927031948942</v>
      </c>
      <c r="J71">
        <f t="shared" si="13"/>
        <v>4536.4597917836591</v>
      </c>
    </row>
    <row r="72" spans="1:10" x14ac:dyDescent="0.25">
      <c r="A72">
        <v>20</v>
      </c>
      <c r="B72">
        <v>1</v>
      </c>
      <c r="C72">
        <f t="shared" si="7"/>
        <v>20</v>
      </c>
      <c r="D72">
        <f t="shared" si="8"/>
        <v>20</v>
      </c>
      <c r="E72">
        <f t="shared" si="9"/>
        <v>20</v>
      </c>
      <c r="F72">
        <v>1.6074999999999999</v>
      </c>
      <c r="G72">
        <f t="shared" si="10"/>
        <v>15233.911773204834</v>
      </c>
      <c r="H72">
        <f t="shared" si="11"/>
        <v>15233.911773204834</v>
      </c>
      <c r="I72">
        <f t="shared" si="12"/>
        <v>15233.911773204834</v>
      </c>
      <c r="J72">
        <f t="shared" si="13"/>
        <v>5026.5482457436674</v>
      </c>
    </row>
    <row r="73" spans="1:10" x14ac:dyDescent="0.25">
      <c r="A73">
        <v>21</v>
      </c>
      <c r="B73">
        <v>1</v>
      </c>
      <c r="C73">
        <f t="shared" si="7"/>
        <v>21</v>
      </c>
      <c r="D73">
        <f t="shared" si="8"/>
        <v>21</v>
      </c>
      <c r="E73">
        <f t="shared" si="9"/>
        <v>21</v>
      </c>
      <c r="F73">
        <v>1.6074999999999999</v>
      </c>
      <c r="G73">
        <f t="shared" si="10"/>
        <v>17821.121559375013</v>
      </c>
      <c r="H73">
        <f t="shared" si="11"/>
        <v>17821.121559375013</v>
      </c>
      <c r="I73">
        <f t="shared" si="12"/>
        <v>17821.121559375013</v>
      </c>
      <c r="J73">
        <f t="shared" si="13"/>
        <v>5541.7694409323949</v>
      </c>
    </row>
    <row r="74" spans="1:10" x14ac:dyDescent="0.25">
      <c r="A74">
        <v>22</v>
      </c>
      <c r="B74">
        <v>1</v>
      </c>
      <c r="C74">
        <f t="shared" si="7"/>
        <v>22</v>
      </c>
      <c r="D74">
        <f t="shared" si="8"/>
        <v>22</v>
      </c>
      <c r="E74">
        <f t="shared" si="9"/>
        <v>22</v>
      </c>
      <c r="F74">
        <v>1.6074999999999999</v>
      </c>
      <c r="G74">
        <f t="shared" si="10"/>
        <v>20696.119285488247</v>
      </c>
      <c r="H74">
        <f t="shared" si="11"/>
        <v>20696.119285488247</v>
      </c>
      <c r="I74">
        <f t="shared" si="12"/>
        <v>20696.119285488247</v>
      </c>
      <c r="J74">
        <f t="shared" si="13"/>
        <v>6082.1233773498425</v>
      </c>
    </row>
    <row r="75" spans="1:10" x14ac:dyDescent="0.25">
      <c r="A75">
        <v>23</v>
      </c>
      <c r="B75">
        <v>1</v>
      </c>
      <c r="C75">
        <f t="shared" si="7"/>
        <v>23</v>
      </c>
      <c r="D75">
        <f t="shared" si="8"/>
        <v>23</v>
      </c>
      <c r="E75">
        <f t="shared" si="9"/>
        <v>23</v>
      </c>
      <c r="F75">
        <v>1.6074999999999999</v>
      </c>
      <c r="G75">
        <f t="shared" si="10"/>
        <v>23875.638398895913</v>
      </c>
      <c r="H75">
        <f t="shared" si="11"/>
        <v>23875.638398895913</v>
      </c>
      <c r="I75">
        <f t="shared" si="12"/>
        <v>23875.638398895913</v>
      </c>
      <c r="J75">
        <f t="shared" si="13"/>
        <v>6647.610054996002</v>
      </c>
    </row>
    <row r="76" spans="1:10" x14ac:dyDescent="0.25">
      <c r="A76">
        <v>24</v>
      </c>
      <c r="B76">
        <v>1</v>
      </c>
      <c r="C76">
        <f t="shared" si="7"/>
        <v>24</v>
      </c>
      <c r="D76">
        <f t="shared" si="8"/>
        <v>24</v>
      </c>
      <c r="E76">
        <f t="shared" si="9"/>
        <v>24</v>
      </c>
      <c r="F76">
        <v>1.6074999999999999</v>
      </c>
      <c r="G76">
        <f t="shared" si="10"/>
        <v>27376.576775598147</v>
      </c>
      <c r="H76">
        <f t="shared" si="11"/>
        <v>27376.576775598147</v>
      </c>
      <c r="I76">
        <f t="shared" si="12"/>
        <v>27376.576775598147</v>
      </c>
      <c r="J76">
        <f t="shared" si="13"/>
        <v>7238.2294738708788</v>
      </c>
    </row>
    <row r="77" spans="1:10" x14ac:dyDescent="0.25">
      <c r="A77">
        <v>25</v>
      </c>
      <c r="B77">
        <v>1</v>
      </c>
      <c r="C77">
        <f t="shared" si="7"/>
        <v>25</v>
      </c>
      <c r="D77">
        <f t="shared" si="8"/>
        <v>25</v>
      </c>
      <c r="E77">
        <f t="shared" si="9"/>
        <v>25</v>
      </c>
      <c r="F77">
        <v>1.6074999999999999</v>
      </c>
      <c r="G77">
        <f t="shared" si="10"/>
        <v>31215.991074983878</v>
      </c>
      <c r="H77">
        <f t="shared" si="11"/>
        <v>31215.991074983878</v>
      </c>
      <c r="I77">
        <f t="shared" si="12"/>
        <v>31215.991074983878</v>
      </c>
      <c r="J77">
        <f t="shared" si="13"/>
        <v>7853.981633974473</v>
      </c>
    </row>
    <row r="78" spans="1:10" x14ac:dyDescent="0.25">
      <c r="A78">
        <v>26</v>
      </c>
      <c r="B78">
        <v>1</v>
      </c>
      <c r="C78">
        <f t="shared" si="7"/>
        <v>26</v>
      </c>
      <c r="D78">
        <f t="shared" si="8"/>
        <v>26</v>
      </c>
      <c r="E78">
        <f t="shared" si="9"/>
        <v>26</v>
      </c>
      <c r="F78">
        <v>1.6074999999999999</v>
      </c>
      <c r="G78">
        <f t="shared" si="10"/>
        <v>35411.091517081353</v>
      </c>
      <c r="H78">
        <f t="shared" si="11"/>
        <v>35411.091517081353</v>
      </c>
      <c r="I78">
        <f t="shared" si="12"/>
        <v>35411.091517081353</v>
      </c>
      <c r="J78">
        <f t="shared" si="13"/>
        <v>8494.8665353068027</v>
      </c>
    </row>
    <row r="79" spans="1:10" x14ac:dyDescent="0.25">
      <c r="A79">
        <v>27</v>
      </c>
      <c r="B79">
        <v>1</v>
      </c>
      <c r="C79">
        <f t="shared" si="7"/>
        <v>27</v>
      </c>
      <c r="D79">
        <f t="shared" si="8"/>
        <v>27</v>
      </c>
      <c r="E79">
        <f t="shared" si="9"/>
        <v>27</v>
      </c>
      <c r="F79">
        <v>1.6074999999999999</v>
      </c>
      <c r="G79">
        <f t="shared" si="10"/>
        <v>39979.237034938225</v>
      </c>
      <c r="H79">
        <f t="shared" si="11"/>
        <v>39979.237034938225</v>
      </c>
      <c r="I79">
        <f t="shared" si="12"/>
        <v>39979.237034938225</v>
      </c>
      <c r="J79">
        <f t="shared" si="13"/>
        <v>9160.8841778678288</v>
      </c>
    </row>
    <row r="80" spans="1:10" x14ac:dyDescent="0.25">
      <c r="A80">
        <v>28</v>
      </c>
      <c r="B80">
        <v>1</v>
      </c>
      <c r="C80">
        <f t="shared" si="7"/>
        <v>28</v>
      </c>
      <c r="D80">
        <f t="shared" si="8"/>
        <v>28</v>
      </c>
      <c r="E80">
        <f t="shared" si="9"/>
        <v>28</v>
      </c>
      <c r="F80">
        <v>1.6074999999999999</v>
      </c>
      <c r="G80">
        <f t="shared" si="10"/>
        <v>44937.930761699718</v>
      </c>
      <c r="H80">
        <f t="shared" si="11"/>
        <v>44937.930761699718</v>
      </c>
      <c r="I80">
        <f t="shared" si="12"/>
        <v>44937.930761699718</v>
      </c>
      <c r="J80">
        <f t="shared" si="13"/>
        <v>9852.0345616575887</v>
      </c>
    </row>
    <row r="81" spans="1:10" x14ac:dyDescent="0.25">
      <c r="A81">
        <v>29</v>
      </c>
      <c r="B81">
        <v>1</v>
      </c>
      <c r="C81">
        <f t="shared" si="7"/>
        <v>29</v>
      </c>
      <c r="D81">
        <f t="shared" si="8"/>
        <v>29</v>
      </c>
      <c r="E81">
        <f t="shared" si="9"/>
        <v>29</v>
      </c>
      <c r="F81">
        <v>1.6074999999999999</v>
      </c>
      <c r="G81">
        <f t="shared" si="10"/>
        <v>50304.815817652852</v>
      </c>
      <c r="H81">
        <f t="shared" si="11"/>
        <v>50304.815817652852</v>
      </c>
      <c r="I81">
        <f t="shared" si="12"/>
        <v>50304.815817652852</v>
      </c>
      <c r="J81">
        <f t="shared" si="13"/>
        <v>10568.317686676068</v>
      </c>
    </row>
    <row r="82" spans="1:10" x14ac:dyDescent="0.25">
      <c r="A82">
        <v>30</v>
      </c>
      <c r="B82">
        <v>1</v>
      </c>
      <c r="C82">
        <f t="shared" si="7"/>
        <v>30</v>
      </c>
      <c r="D82">
        <f t="shared" si="8"/>
        <v>30</v>
      </c>
      <c r="E82">
        <f t="shared" si="9"/>
        <v>30</v>
      </c>
      <c r="F82">
        <v>1.6074999999999999</v>
      </c>
      <c r="G82">
        <f t="shared" si="10"/>
        <v>56097.671367234158</v>
      </c>
      <c r="H82">
        <f t="shared" si="11"/>
        <v>56097.671367234158</v>
      </c>
      <c r="I82">
        <f t="shared" si="12"/>
        <v>56097.671367234158</v>
      </c>
      <c r="J82">
        <f t="shared" si="13"/>
        <v>11309.733552923257</v>
      </c>
    </row>
    <row r="83" spans="1:10" x14ac:dyDescent="0.25">
      <c r="A83">
        <v>31</v>
      </c>
      <c r="B83">
        <v>1</v>
      </c>
      <c r="C83">
        <f t="shared" si="7"/>
        <v>31</v>
      </c>
      <c r="D83">
        <f t="shared" si="8"/>
        <v>31</v>
      </c>
      <c r="E83">
        <f t="shared" si="9"/>
        <v>31</v>
      </c>
      <c r="F83">
        <v>1.6074999999999999</v>
      </c>
      <c r="G83">
        <f t="shared" si="10"/>
        <v>62334.408919933601</v>
      </c>
      <c r="H83">
        <f t="shared" si="11"/>
        <v>62334.408919933601</v>
      </c>
      <c r="I83">
        <f t="shared" si="12"/>
        <v>62334.408919933601</v>
      </c>
      <c r="J83">
        <f t="shared" si="13"/>
        <v>12076.282160399165</v>
      </c>
    </row>
    <row r="84" spans="1:10" x14ac:dyDescent="0.25">
      <c r="A84">
        <v>32</v>
      </c>
      <c r="B84">
        <v>1</v>
      </c>
      <c r="C84">
        <f t="shared" si="7"/>
        <v>32</v>
      </c>
      <c r="D84">
        <f t="shared" si="8"/>
        <v>32</v>
      </c>
      <c r="E84">
        <f t="shared" si="9"/>
        <v>32</v>
      </c>
      <c r="F84">
        <v>1.6074999999999999</v>
      </c>
      <c r="G84">
        <f t="shared" si="10"/>
        <v>69033.068852336088</v>
      </c>
      <c r="H84">
        <f t="shared" si="11"/>
        <v>69033.068852336088</v>
      </c>
      <c r="I84">
        <f t="shared" si="12"/>
        <v>69033.068852336088</v>
      </c>
      <c r="J84">
        <f t="shared" si="13"/>
        <v>12867.963509103782</v>
      </c>
    </row>
    <row r="85" spans="1:10" x14ac:dyDescent="0.25">
      <c r="A85">
        <v>33</v>
      </c>
      <c r="B85">
        <v>1</v>
      </c>
      <c r="C85">
        <f t="shared" si="7"/>
        <v>33</v>
      </c>
      <c r="D85">
        <f t="shared" si="8"/>
        <v>33</v>
      </c>
      <c r="E85">
        <f t="shared" si="9"/>
        <v>33</v>
      </c>
      <c r="F85">
        <v>1.6074999999999999</v>
      </c>
      <c r="G85">
        <f t="shared" si="10"/>
        <v>76211.817131336094</v>
      </c>
      <c r="H85">
        <f t="shared" si="11"/>
        <v>76211.817131336094</v>
      </c>
      <c r="I85">
        <f t="shared" si="12"/>
        <v>76211.817131336094</v>
      </c>
      <c r="J85">
        <f t="shared" si="13"/>
        <v>13684.777599037139</v>
      </c>
    </row>
    <row r="86" spans="1:10" x14ac:dyDescent="0.25">
      <c r="A86">
        <v>34</v>
      </c>
      <c r="B86">
        <v>1</v>
      </c>
      <c r="C86">
        <f t="shared" si="7"/>
        <v>34</v>
      </c>
      <c r="D86">
        <f t="shared" si="8"/>
        <v>34</v>
      </c>
      <c r="E86">
        <f t="shared" si="9"/>
        <v>34</v>
      </c>
      <c r="F86">
        <v>1.6074999999999999</v>
      </c>
      <c r="G86">
        <f t="shared" si="10"/>
        <v>83888.942220932789</v>
      </c>
      <c r="H86">
        <f t="shared" si="11"/>
        <v>83888.942220932789</v>
      </c>
      <c r="I86">
        <f t="shared" si="12"/>
        <v>83888.942220932789</v>
      </c>
      <c r="J86">
        <f t="shared" si="13"/>
        <v>14526.724430199209</v>
      </c>
    </row>
    <row r="87" spans="1:10" x14ac:dyDescent="0.25">
      <c r="A87">
        <v>35</v>
      </c>
      <c r="B87">
        <v>1</v>
      </c>
      <c r="C87">
        <f t="shared" si="7"/>
        <v>35</v>
      </c>
      <c r="D87">
        <f t="shared" si="8"/>
        <v>35</v>
      </c>
      <c r="E87">
        <f t="shared" si="9"/>
        <v>35</v>
      </c>
      <c r="F87">
        <v>1.6074999999999999</v>
      </c>
      <c r="G87">
        <f t="shared" si="10"/>
        <v>92082.852157043308</v>
      </c>
      <c r="H87">
        <f t="shared" si="11"/>
        <v>92082.852157043308</v>
      </c>
      <c r="I87">
        <f t="shared" si="12"/>
        <v>92082.852157043308</v>
      </c>
      <c r="J87">
        <f t="shared" si="13"/>
        <v>15393.804002589966</v>
      </c>
    </row>
    <row r="88" spans="1:10" x14ac:dyDescent="0.25">
      <c r="A88">
        <v>36</v>
      </c>
      <c r="B88">
        <v>1</v>
      </c>
      <c r="C88">
        <f t="shared" si="7"/>
        <v>36</v>
      </c>
      <c r="D88">
        <f t="shared" si="8"/>
        <v>36</v>
      </c>
      <c r="E88">
        <f t="shared" si="9"/>
        <v>36</v>
      </c>
      <c r="F88">
        <v>1.6074999999999999</v>
      </c>
      <c r="G88">
        <f t="shared" si="10"/>
        <v>100812.07177651067</v>
      </c>
      <c r="H88">
        <f t="shared" si="11"/>
        <v>100812.07177651067</v>
      </c>
      <c r="I88">
        <f t="shared" si="12"/>
        <v>100812.07177651067</v>
      </c>
      <c r="J88">
        <f t="shared" si="13"/>
        <v>16286.01631620947</v>
      </c>
    </row>
    <row r="89" spans="1:10" x14ac:dyDescent="0.25">
      <c r="A89">
        <v>37</v>
      </c>
      <c r="B89">
        <v>1</v>
      </c>
      <c r="C89">
        <f t="shared" si="7"/>
        <v>37</v>
      </c>
      <c r="D89">
        <f t="shared" si="8"/>
        <v>37</v>
      </c>
      <c r="E89">
        <f t="shared" si="9"/>
        <v>37</v>
      </c>
      <c r="F89">
        <v>1.6074999999999999</v>
      </c>
      <c r="G89">
        <f t="shared" si="10"/>
        <v>110095.24008798388</v>
      </c>
      <c r="H89">
        <f t="shared" si="11"/>
        <v>110095.24008798388</v>
      </c>
      <c r="I89">
        <f t="shared" si="12"/>
        <v>110095.24008798388</v>
      </c>
      <c r="J89">
        <f t="shared" si="13"/>
        <v>17203.361371057705</v>
      </c>
    </row>
    <row r="90" spans="1:10" x14ac:dyDescent="0.25">
      <c r="A90">
        <v>38</v>
      </c>
      <c r="B90">
        <v>1</v>
      </c>
      <c r="C90">
        <f t="shared" si="7"/>
        <v>38</v>
      </c>
      <c r="D90">
        <f t="shared" si="8"/>
        <v>38</v>
      </c>
      <c r="E90">
        <f t="shared" si="9"/>
        <v>38</v>
      </c>
      <c r="F90">
        <v>1.6074999999999999</v>
      </c>
      <c r="G90">
        <f t="shared" si="10"/>
        <v>119951.10777365133</v>
      </c>
      <c r="H90">
        <f t="shared" si="11"/>
        <v>119951.10777365133</v>
      </c>
      <c r="I90">
        <f t="shared" si="12"/>
        <v>119951.10777365133</v>
      </c>
      <c r="J90">
        <f t="shared" si="13"/>
        <v>18145.839167134644</v>
      </c>
    </row>
    <row r="91" spans="1:10" x14ac:dyDescent="0.25">
      <c r="A91">
        <v>39</v>
      </c>
      <c r="B91">
        <v>1</v>
      </c>
      <c r="C91">
        <f t="shared" si="7"/>
        <v>39</v>
      </c>
      <c r="D91">
        <f t="shared" si="8"/>
        <v>39</v>
      </c>
      <c r="E91">
        <f t="shared" si="9"/>
        <v>39</v>
      </c>
      <c r="F91">
        <v>1.6074999999999999</v>
      </c>
      <c r="G91">
        <f t="shared" si="10"/>
        <v>130398.53481194036</v>
      </c>
      <c r="H91">
        <f t="shared" si="11"/>
        <v>130398.53481194036</v>
      </c>
      <c r="I91">
        <f t="shared" si="12"/>
        <v>130398.53481194036</v>
      </c>
      <c r="J91">
        <f t="shared" si="13"/>
        <v>19113.449704440296</v>
      </c>
    </row>
    <row r="92" spans="1:10" x14ac:dyDescent="0.25">
      <c r="A92">
        <v>40</v>
      </c>
      <c r="B92">
        <v>1</v>
      </c>
      <c r="C92">
        <f t="shared" si="7"/>
        <v>40</v>
      </c>
      <c r="D92">
        <f t="shared" si="8"/>
        <v>40</v>
      </c>
      <c r="E92">
        <f t="shared" si="9"/>
        <v>40</v>
      </c>
      <c r="F92">
        <v>1.6074999999999999</v>
      </c>
      <c r="G92">
        <f t="shared" si="10"/>
        <v>141456.48821228073</v>
      </c>
      <c r="H92">
        <f t="shared" si="11"/>
        <v>141456.48821228073</v>
      </c>
      <c r="I92">
        <f t="shared" si="12"/>
        <v>141456.48821228073</v>
      </c>
      <c r="J92">
        <f t="shared" si="13"/>
        <v>20106.192982974673</v>
      </c>
    </row>
    <row r="93" spans="1:10" x14ac:dyDescent="0.25">
      <c r="A93">
        <v>41</v>
      </c>
      <c r="B93">
        <v>1</v>
      </c>
      <c r="C93">
        <f t="shared" si="7"/>
        <v>41</v>
      </c>
      <c r="D93">
        <f t="shared" si="8"/>
        <v>41</v>
      </c>
      <c r="E93">
        <f t="shared" si="9"/>
        <v>41</v>
      </c>
      <c r="F93">
        <v>1.6074999999999999</v>
      </c>
      <c r="G93">
        <f t="shared" si="10"/>
        <v>153144.03985390204</v>
      </c>
      <c r="H93">
        <f t="shared" si="11"/>
        <v>153144.03985390204</v>
      </c>
      <c r="I93">
        <f t="shared" si="12"/>
        <v>153144.03985390204</v>
      </c>
      <c r="J93">
        <f t="shared" si="13"/>
        <v>21124.069002737757</v>
      </c>
    </row>
    <row r="94" spans="1:10" x14ac:dyDescent="0.25">
      <c r="A94">
        <v>42</v>
      </c>
      <c r="B94">
        <v>1</v>
      </c>
      <c r="C94">
        <f t="shared" si="7"/>
        <v>42</v>
      </c>
      <c r="D94">
        <f t="shared" si="8"/>
        <v>42</v>
      </c>
      <c r="E94">
        <f t="shared" si="9"/>
        <v>42</v>
      </c>
      <c r="F94">
        <v>1.6074999999999999</v>
      </c>
      <c r="G94">
        <f t="shared" si="10"/>
        <v>165480.36442139748</v>
      </c>
      <c r="H94">
        <f t="shared" si="11"/>
        <v>165480.36442139748</v>
      </c>
      <c r="I94">
        <f t="shared" si="12"/>
        <v>165480.36442139748</v>
      </c>
      <c r="J94">
        <f t="shared" si="13"/>
        <v>22167.077763729587</v>
      </c>
    </row>
    <row r="95" spans="1:10" x14ac:dyDescent="0.25">
      <c r="A95">
        <v>43</v>
      </c>
      <c r="B95">
        <v>1</v>
      </c>
      <c r="C95">
        <f t="shared" si="7"/>
        <v>43</v>
      </c>
      <c r="D95">
        <f t="shared" si="8"/>
        <v>43</v>
      </c>
      <c r="E95">
        <f t="shared" si="9"/>
        <v>43</v>
      </c>
      <c r="F95">
        <v>1.6074999999999999</v>
      </c>
      <c r="G95">
        <f t="shared" si="10"/>
        <v>178484.73743045249</v>
      </c>
      <c r="H95">
        <f t="shared" si="11"/>
        <v>178484.73743045249</v>
      </c>
      <c r="I95">
        <f t="shared" si="12"/>
        <v>178484.73743045249</v>
      </c>
      <c r="J95">
        <f t="shared" si="13"/>
        <v>23235.219265950087</v>
      </c>
    </row>
    <row r="96" spans="1:10" x14ac:dyDescent="0.25">
      <c r="A96">
        <v>44</v>
      </c>
      <c r="B96">
        <v>1</v>
      </c>
      <c r="C96">
        <f t="shared" si="7"/>
        <v>44</v>
      </c>
      <c r="D96">
        <f t="shared" si="8"/>
        <v>44</v>
      </c>
      <c r="E96">
        <f t="shared" si="9"/>
        <v>44</v>
      </c>
      <c r="F96">
        <v>1.6074999999999999</v>
      </c>
      <c r="G96">
        <f t="shared" si="10"/>
        <v>192176.53333774861</v>
      </c>
      <c r="H96">
        <f t="shared" si="11"/>
        <v>192176.53333774861</v>
      </c>
      <c r="I96">
        <f t="shared" si="12"/>
        <v>192176.53333774861</v>
      </c>
      <c r="J96">
        <f t="shared" si="13"/>
        <v>24328.493509399352</v>
      </c>
    </row>
    <row r="97" spans="1:10" x14ac:dyDescent="0.25">
      <c r="A97">
        <v>45</v>
      </c>
      <c r="B97">
        <v>1</v>
      </c>
      <c r="C97">
        <f t="shared" si="7"/>
        <v>45</v>
      </c>
      <c r="D97">
        <f t="shared" si="8"/>
        <v>45</v>
      </c>
      <c r="E97">
        <f t="shared" si="9"/>
        <v>45</v>
      </c>
      <c r="F97">
        <v>1.6074999999999999</v>
      </c>
      <c r="G97">
        <f t="shared" si="10"/>
        <v>206575.22372956199</v>
      </c>
      <c r="H97">
        <f t="shared" si="11"/>
        <v>206575.22372956199</v>
      </c>
      <c r="I97">
        <f t="shared" si="12"/>
        <v>206575.22372956199</v>
      </c>
      <c r="J97">
        <f t="shared" si="13"/>
        <v>25446.900494077319</v>
      </c>
    </row>
    <row r="98" spans="1:10" x14ac:dyDescent="0.25">
      <c r="A98">
        <v>46</v>
      </c>
      <c r="B98">
        <v>1</v>
      </c>
      <c r="C98">
        <f t="shared" si="7"/>
        <v>46</v>
      </c>
      <c r="D98">
        <f t="shared" si="8"/>
        <v>46</v>
      </c>
      <c r="E98">
        <f t="shared" si="9"/>
        <v>46</v>
      </c>
      <c r="F98">
        <v>1.6074999999999999</v>
      </c>
      <c r="G98">
        <f t="shared" si="10"/>
        <v>221700.37558407002</v>
      </c>
      <c r="H98">
        <f t="shared" si="11"/>
        <v>221700.37558407002</v>
      </c>
      <c r="I98">
        <f t="shared" si="12"/>
        <v>221700.37558407002</v>
      </c>
      <c r="J98">
        <f t="shared" si="13"/>
        <v>26590.440219984015</v>
      </c>
    </row>
    <row r="99" spans="1:10" x14ac:dyDescent="0.25">
      <c r="A99">
        <v>47</v>
      </c>
      <c r="B99">
        <v>1</v>
      </c>
      <c r="C99">
        <f t="shared" si="7"/>
        <v>47</v>
      </c>
      <c r="D99">
        <f t="shared" si="8"/>
        <v>47</v>
      </c>
      <c r="E99">
        <f t="shared" si="9"/>
        <v>47</v>
      </c>
      <c r="F99">
        <v>1.6074999999999999</v>
      </c>
      <c r="G99">
        <f t="shared" si="10"/>
        <v>237571.64960278251</v>
      </c>
      <c r="H99">
        <f t="shared" si="11"/>
        <v>237571.64960278251</v>
      </c>
      <c r="I99">
        <f t="shared" si="12"/>
        <v>237571.64960278251</v>
      </c>
      <c r="J99">
        <f t="shared" si="13"/>
        <v>27759.112687119399</v>
      </c>
    </row>
    <row r="100" spans="1:10" x14ac:dyDescent="0.25">
      <c r="A100">
        <v>48</v>
      </c>
      <c r="B100">
        <v>1</v>
      </c>
      <c r="C100">
        <f t="shared" si="7"/>
        <v>48</v>
      </c>
      <c r="D100">
        <f t="shared" si="8"/>
        <v>48</v>
      </c>
      <c r="E100">
        <f t="shared" si="9"/>
        <v>48</v>
      </c>
      <c r="F100">
        <v>1.6074999999999999</v>
      </c>
      <c r="G100">
        <f t="shared" si="10"/>
        <v>254208.79860690574</v>
      </c>
      <c r="H100">
        <f t="shared" si="11"/>
        <v>254208.79860690574</v>
      </c>
      <c r="I100">
        <f t="shared" si="12"/>
        <v>254208.79860690574</v>
      </c>
      <c r="J100">
        <f t="shared" si="13"/>
        <v>28952.917895483522</v>
      </c>
    </row>
    <row r="101" spans="1:10" x14ac:dyDescent="0.25">
      <c r="A101">
        <v>49</v>
      </c>
      <c r="B101">
        <v>1</v>
      </c>
      <c r="C101">
        <f t="shared" si="7"/>
        <v>49</v>
      </c>
      <c r="D101">
        <f t="shared" si="8"/>
        <v>49</v>
      </c>
      <c r="E101">
        <f t="shared" si="9"/>
        <v>49</v>
      </c>
      <c r="F101">
        <v>1.6074999999999999</v>
      </c>
      <c r="G101">
        <f t="shared" si="10"/>
        <v>271631.6659947749</v>
      </c>
      <c r="H101">
        <f t="shared" si="11"/>
        <v>271631.6659947749</v>
      </c>
      <c r="I101">
        <f t="shared" si="12"/>
        <v>271631.6659947749</v>
      </c>
      <c r="J101">
        <f t="shared" si="13"/>
        <v>30171.855845076338</v>
      </c>
    </row>
    <row r="102" spans="1:10" x14ac:dyDescent="0.25">
      <c r="A102">
        <v>50</v>
      </c>
      <c r="B102">
        <v>1</v>
      </c>
      <c r="C102">
        <f t="shared" si="7"/>
        <v>50</v>
      </c>
      <c r="D102">
        <f t="shared" si="8"/>
        <v>50</v>
      </c>
      <c r="E102">
        <f t="shared" si="9"/>
        <v>50</v>
      </c>
      <c r="F102">
        <v>1.6074999999999999</v>
      </c>
      <c r="G102">
        <f t="shared" si="10"/>
        <v>289860.1842568086</v>
      </c>
      <c r="H102">
        <f t="shared" si="11"/>
        <v>289860.1842568086</v>
      </c>
      <c r="I102">
        <f t="shared" si="12"/>
        <v>289860.1842568086</v>
      </c>
      <c r="J102">
        <f t="shared" si="13"/>
        <v>31415.926535897896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r_x</vt:lpstr>
      <vt:lpstr>x_d</vt:lpstr>
      <vt:lpstr>x_p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</dc:creator>
  <cp:lastModifiedBy>Min PC</cp:lastModifiedBy>
  <dcterms:created xsi:type="dcterms:W3CDTF">2020-01-18T16:02:22Z</dcterms:created>
  <dcterms:modified xsi:type="dcterms:W3CDTF">2020-01-21T21:18:15Z</dcterms:modified>
</cp:coreProperties>
</file>